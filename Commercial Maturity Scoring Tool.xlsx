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tim.wood/Documents/Commercial Maturity Model/"/>
    </mc:Choice>
  </mc:AlternateContent>
  <xr:revisionPtr revIDLastSave="0" documentId="8_{A952338D-8EED-FD4B-82ED-9A65895BE8DC}" xr6:coauthVersionLast="47" xr6:coauthVersionMax="47" xr10:uidLastSave="{00000000-0000-0000-0000-000000000000}"/>
  <bookViews>
    <workbookView xWindow="-29040" yWindow="-120" windowWidth="29040" windowHeight="15720" firstSheet="1" activeTab="1" xr2:uid="{00000000-000D-0000-FFFF-FFFF00000000}"/>
  </bookViews>
  <sheets>
    <sheet name="Dashboard" sheetId="1" r:id="rId1"/>
    <sheet name="Team Assessment (Axis A)" sheetId="2" r:id="rId2"/>
    <sheet name="Business Assessment (Axis B)" sheetId="3" r:id="rId3"/>
    <sheet name="Rubric Referenc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46" i="3"/>
  <c r="D45" i="3"/>
  <c r="D44" i="3"/>
  <c r="D43" i="3"/>
  <c r="D42" i="3"/>
  <c r="D46" i="2"/>
  <c r="C10" i="1" s="1"/>
  <c r="D45" i="2"/>
  <c r="C9" i="1" s="1"/>
  <c r="D44" i="2"/>
  <c r="C8" i="1" s="1"/>
  <c r="D43" i="2"/>
  <c r="C7" i="1" s="1"/>
  <c r="D42" i="2"/>
  <c r="C6" i="1" s="1"/>
  <c r="H5" i="1" s="1"/>
  <c r="E73" i="1"/>
  <c r="D73" i="1"/>
  <c r="E72" i="1"/>
  <c r="D72" i="1"/>
  <c r="E71" i="1"/>
  <c r="D71" i="1"/>
  <c r="E70" i="1"/>
  <c r="D70" i="1"/>
  <c r="F70" i="1" s="1"/>
  <c r="E69" i="1"/>
  <c r="D69" i="1"/>
  <c r="E68" i="1"/>
  <c r="D68" i="1"/>
  <c r="F68" i="1" s="1"/>
  <c r="E66" i="1"/>
  <c r="D66" i="1"/>
  <c r="F66" i="1" s="1"/>
  <c r="E65" i="1"/>
  <c r="D65" i="1"/>
  <c r="F65" i="1" s="1"/>
  <c r="E64" i="1"/>
  <c r="D64" i="1"/>
  <c r="F64" i="1" s="1"/>
  <c r="E63" i="1"/>
  <c r="D63" i="1"/>
  <c r="F63" i="1" s="1"/>
  <c r="E62" i="1"/>
  <c r="D62" i="1"/>
  <c r="E61" i="1"/>
  <c r="D61" i="1"/>
  <c r="F61" i="1" s="1"/>
  <c r="E59" i="1"/>
  <c r="D59" i="1"/>
  <c r="F59" i="1" s="1"/>
  <c r="E58" i="1"/>
  <c r="D58" i="1"/>
  <c r="F58" i="1" s="1"/>
  <c r="E57" i="1"/>
  <c r="D57" i="1"/>
  <c r="F57" i="1" s="1"/>
  <c r="E56" i="1"/>
  <c r="D56" i="1"/>
  <c r="F56" i="1" s="1"/>
  <c r="E55" i="1"/>
  <c r="D55" i="1"/>
  <c r="F55" i="1" s="1"/>
  <c r="E54" i="1"/>
  <c r="D54" i="1"/>
  <c r="F54" i="1" s="1"/>
  <c r="E52" i="1"/>
  <c r="D52" i="1"/>
  <c r="E51" i="1"/>
  <c r="D51" i="1"/>
  <c r="F51" i="1" s="1"/>
  <c r="E50" i="1"/>
  <c r="D50" i="1"/>
  <c r="F50" i="1" s="1"/>
  <c r="E49" i="1"/>
  <c r="D49" i="1"/>
  <c r="F49" i="1" s="1"/>
  <c r="E48" i="1"/>
  <c r="D48" i="1"/>
  <c r="F48" i="1" s="1"/>
  <c r="E47" i="1"/>
  <c r="D47" i="1"/>
  <c r="F47" i="1" s="1"/>
  <c r="E45" i="1"/>
  <c r="D45" i="1"/>
  <c r="F45" i="1" s="1"/>
  <c r="E44" i="1"/>
  <c r="D44" i="1"/>
  <c r="F44" i="1" s="1"/>
  <c r="E43" i="1"/>
  <c r="D43" i="1"/>
  <c r="E42" i="1"/>
  <c r="D42" i="1"/>
  <c r="F42" i="1" s="1"/>
  <c r="E41" i="1"/>
  <c r="E40" i="1"/>
  <c r="D40" i="1"/>
  <c r="D10" i="1"/>
  <c r="I9" i="1" s="1"/>
  <c r="D9" i="1"/>
  <c r="I8" i="1" s="1"/>
  <c r="D8" i="1"/>
  <c r="I7" i="1" s="1"/>
  <c r="D7" i="1"/>
  <c r="I6" i="1" s="1"/>
  <c r="D6" i="1"/>
  <c r="D11" i="1" s="1"/>
  <c r="F73" i="1" l="1"/>
  <c r="F40" i="1"/>
  <c r="F72" i="1"/>
  <c r="F69" i="1"/>
  <c r="I5" i="1"/>
  <c r="F43" i="1"/>
  <c r="F52" i="1"/>
  <c r="F62" i="1"/>
  <c r="F71" i="1"/>
  <c r="F41" i="1"/>
  <c r="E7" i="1"/>
  <c r="H6" i="1"/>
  <c r="E9" i="1"/>
  <c r="H8" i="1"/>
  <c r="E10" i="1"/>
  <c r="H9" i="1"/>
  <c r="E8" i="1"/>
  <c r="H7" i="1"/>
  <c r="C11" i="1"/>
  <c r="E6" i="1"/>
  <c r="E11" i="1" l="1"/>
</calcChain>
</file>

<file path=xl/sharedStrings.xml><?xml version="1.0" encoding="utf-8"?>
<sst xmlns="http://schemas.openxmlformats.org/spreadsheetml/2006/main" count="473" uniqueCount="135">
  <si>
    <t>Commercial Maturity Scoring Tool</t>
  </si>
  <si>
    <t>Dashboard — Team (Axis A) vs Business (Axis B)</t>
  </si>
  <si>
    <t>DIMENSION SUMMARY</t>
  </si>
  <si>
    <t>Dimension</t>
  </si>
  <si>
    <t>Team (A)</t>
  </si>
  <si>
    <t>Business (B)</t>
  </si>
  <si>
    <t>Team (Axis A)</t>
  </si>
  <si>
    <t>Business (Axis B)</t>
  </si>
  <si>
    <t>Gap (A – B)</t>
  </si>
  <si>
    <t>Strategy</t>
  </si>
  <si>
    <t>Commercial Strategy &amp; Alignment</t>
  </si>
  <si>
    <t>Process</t>
  </si>
  <si>
    <t>Processes &amp; Governance</t>
  </si>
  <si>
    <t>Data</t>
  </si>
  <si>
    <t>Data &amp; Analytics</t>
  </si>
  <si>
    <t>Capability</t>
  </si>
  <si>
    <t>Capabilities &amp; Expertise</t>
  </si>
  <si>
    <t>Collaboration</t>
  </si>
  <si>
    <t>Cross-Functional Collaboration &amp; Enablement</t>
  </si>
  <si>
    <t>OVERALL AVERAGE</t>
  </si>
  <si>
    <t>DETAILED HEATMAP — 30 Sub-Categories</t>
  </si>
  <si>
    <t>#</t>
  </si>
  <si>
    <t>Sub-category</t>
  </si>
  <si>
    <t>Gap</t>
  </si>
  <si>
    <t>1.1</t>
  </si>
  <si>
    <t>Strategic Clarity</t>
  </si>
  <si>
    <t>1.2</t>
  </si>
  <si>
    <t>Portfolio Alignment</t>
  </si>
  <si>
    <t>1.3</t>
  </si>
  <si>
    <t>Value Proposition &amp; Monetization Fit</t>
  </si>
  <si>
    <t>1.4</t>
  </si>
  <si>
    <t>Ownership &amp; Accountability</t>
  </si>
  <si>
    <t>1.5</t>
  </si>
  <si>
    <t>Strategic Prioritization</t>
  </si>
  <si>
    <t>1.6</t>
  </si>
  <si>
    <t>Future Readiness</t>
  </si>
  <si>
    <t>2.1</t>
  </si>
  <si>
    <t>Governance Structure</t>
  </si>
  <si>
    <t>2.2</t>
  </si>
  <si>
    <t>Initiative Lifecycle Management</t>
  </si>
  <si>
    <t>2.3</t>
  </si>
  <si>
    <t>Decision Rights &amp; Escalation</t>
  </si>
  <si>
    <t>2.4</t>
  </si>
  <si>
    <t>Policy &amp; Compliance Adherence</t>
  </si>
  <si>
    <t>2.5</t>
  </si>
  <si>
    <t>Documentation &amp; Auditability</t>
  </si>
  <si>
    <t>2.6</t>
  </si>
  <si>
    <t>Continuous Improvement</t>
  </si>
  <si>
    <t>3.1</t>
  </si>
  <si>
    <t>Data Quality &amp; Availability</t>
  </si>
  <si>
    <t>3.2</t>
  </si>
  <si>
    <t>Dashboard Utilization</t>
  </si>
  <si>
    <t>3.3</t>
  </si>
  <si>
    <t>KPI Definition &amp; Ownership</t>
  </si>
  <si>
    <t>3.4</t>
  </si>
  <si>
    <t>Analytical Capabilities</t>
  </si>
  <si>
    <t>3.5</t>
  </si>
  <si>
    <t>Data-Driven Culture</t>
  </si>
  <si>
    <t>3.6</t>
  </si>
  <si>
    <t>Reporting Integration &amp; Automation</t>
  </si>
  <si>
    <t>4.1</t>
  </si>
  <si>
    <t>Commercial Acumen &amp; Skillset</t>
  </si>
  <si>
    <t>4.2</t>
  </si>
  <si>
    <t>Functional Independence</t>
  </si>
  <si>
    <t>4.3</t>
  </si>
  <si>
    <t>Business Partnering Skills</t>
  </si>
  <si>
    <t>4.4</t>
  </si>
  <si>
    <t>Learning &amp; Development</t>
  </si>
  <si>
    <t>4.5</t>
  </si>
  <si>
    <t>Talent Management &amp; Succession</t>
  </si>
  <si>
    <t>4.6</t>
  </si>
  <si>
    <t>Innovation &amp; Agility</t>
  </si>
  <si>
    <t>5.1</t>
  </si>
  <si>
    <t>Role Clarity Across Functions</t>
  </si>
  <si>
    <t>5.2</t>
  </si>
  <si>
    <t>Joint Planning &amp; Decision-Making</t>
  </si>
  <si>
    <t>5.3</t>
  </si>
  <si>
    <t>Communication &amp; Transparency</t>
  </si>
  <si>
    <t>5.4</t>
  </si>
  <si>
    <t>Enablement &amp; Training</t>
  </si>
  <si>
    <t>5.5</t>
  </si>
  <si>
    <t>Escalation &amp; Conflict Resolution</t>
  </si>
  <si>
    <t>5.6</t>
  </si>
  <si>
    <t>Customer &amp; Market Feedback Loop</t>
  </si>
  <si>
    <t>THREE-HORIZON ACTION PLAN</t>
  </si>
  <si>
    <t>Horizon</t>
  </si>
  <si>
    <t>Timeframe</t>
  </si>
  <si>
    <t>Current Level</t>
  </si>
  <si>
    <t>Target Level</t>
  </si>
  <si>
    <t>Key Actions</t>
  </si>
  <si>
    <t>Owner</t>
  </si>
  <si>
    <t>Target Date</t>
  </si>
  <si>
    <t>H1: Stabilize</t>
  </si>
  <si>
    <t>0–6 months</t>
  </si>
  <si>
    <t>H2: Accelerate</t>
  </si>
  <si>
    <t>6–18 months</t>
  </si>
  <si>
    <t>H3: Transform</t>
  </si>
  <si>
    <t>18–36 months</t>
  </si>
  <si>
    <t>Team Maturity Assessment (Axis A)</t>
  </si>
  <si>
    <t>Score each sub-category from 1 (Reactive) to 5 (Strategic). Use the Rubric Reference sheet and the Scoring Rubric document for criteria.</t>
  </si>
  <si>
    <t>Link to the detailed criteria doc: https://ifs.sharepoint.com/teams/IFSGroupCommercial/Shared%20Documents/Group%20Commercial%20Folder/Maturity%20Matrix/Appx%201%20-%20Detailed%20questions%20-%20Commercial%20Maturity%20Matrix.docx?web=1</t>
  </si>
  <si>
    <t>Score (1-5)</t>
  </si>
  <si>
    <t>Evidence / KPIs</t>
  </si>
  <si>
    <t>Strengths</t>
  </si>
  <si>
    <t>Gaps</t>
  </si>
  <si>
    <t>Next Steps</t>
  </si>
  <si>
    <t>Monthly reviews, weekly alignment on priorities. Documentation through Confluence - made available for immediate stakeholders. Regular syncs with Deal Desk, Legal, R&amp;D Operations, Finance</t>
  </si>
  <si>
    <t>DIMENSION AVERAGES</t>
  </si>
  <si>
    <t>Business Maturity Assessment (Axis B)</t>
  </si>
  <si>
    <t>Lacking defined success metric for each priotities (improvement, not qualify as 3)</t>
  </si>
  <si>
    <t>High frequency of reviewed priorities, communication and alignment through monthly Commm Council and regular syncs</t>
  </si>
  <si>
    <t>Cascading priorities/communication, linkage to measurable outcomes</t>
  </si>
  <si>
    <t>Process has just been overhauled, link  https://ifsdev.atlassian.net/wiki/spaces/ROB/pages/3151364304/Investment+Pitch-deck. Product Council approving each new investment. On a way to move to a higher scope next year</t>
  </si>
  <si>
    <t>Rubric Quick Reference</t>
  </si>
  <si>
    <t>SCORING RULE: Score at the highest level where ALL criteria are met. If partial, score one level below and flag unmet criteria as "in progress."</t>
  </si>
  <si>
    <t>MATURITY LEVELS</t>
  </si>
  <si>
    <t>Level</t>
  </si>
  <si>
    <t>Name</t>
  </si>
  <si>
    <t>Core Behaviour</t>
  </si>
  <si>
    <t>L1</t>
  </si>
  <si>
    <t>Reactive (Chaos)</t>
  </si>
  <si>
    <t>We sell what we have</t>
  </si>
  <si>
    <t>L2</t>
  </si>
  <si>
    <t>Controlled (Clean Pipes)</t>
  </si>
  <si>
    <t>No rogue deals — stop value leakage</t>
  </si>
  <si>
    <t>L3</t>
  </si>
  <si>
    <t>Efficient (Velocity)</t>
  </si>
  <si>
    <t>Salespeople spend time selling, not configuring</t>
  </si>
  <si>
    <t>L4</t>
  </si>
  <si>
    <t>Optimized (Value Capture)</t>
  </si>
  <si>
    <t>We price the customer, not just the product</t>
  </si>
  <si>
    <t>L5</t>
  </si>
  <si>
    <t>Strategic / Dynamic</t>
  </si>
  <si>
    <t>The system suggests the optimal price</t>
  </si>
  <si>
    <t>ALL 30 SUB-CATEGORIES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</si>
</sst>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</font>
    <font>
      <i/>
      <sz val="9"/>
      <color rgb="FF666666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b/>
      <sz val="11"/>
      <color rgb="FF1F3864"/>
      <name val="Calibri"/>
      <family val="2"/>
    </font>
    <font>
      <b/>
      <sz val="10"/>
      <name val="Calibri"/>
      <family val="2"/>
    </font>
    <font>
      <b/>
      <sz val="12"/>
      <color rgb="FF1F3864"/>
      <name val="Calibri"/>
      <family val="2"/>
    </font>
    <font>
      <b/>
      <sz val="20"/>
      <color rgb="FF1F3864"/>
      <name val="Calibri"/>
      <family val="2"/>
    </font>
    <font>
      <i/>
      <sz val="11"/>
      <color rgb="FF666666"/>
      <name val="Calibri"/>
      <family val="2"/>
    </font>
    <font>
      <b/>
      <sz val="12"/>
      <color rgb="FFFFFFFF"/>
      <name val="Calibri"/>
      <family val="2"/>
    </font>
    <font>
      <sz val="8"/>
      <color rgb="FFFFFFFF"/>
      <name val="Calibri"/>
      <family val="2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6E4F0"/>
        <bgColor rgb="FFD6E4F0"/>
      </patternFill>
    </fill>
    <fill>
      <patternFill patternType="solid">
        <fgColor rgb="FFFFE8E8"/>
        <bgColor rgb="FFFFE8E8"/>
      </patternFill>
    </fill>
    <fill>
      <patternFill patternType="solid">
        <fgColor rgb="FFFFF3D6"/>
        <bgColor rgb="FFFFF3D6"/>
      </patternFill>
    </fill>
    <fill>
      <patternFill patternType="solid">
        <fgColor rgb="FFE8F5E8"/>
        <bgColor rgb="FFE8F5E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3" fillId="0" borderId="0" xfId="0" applyFont="1"/>
    <xf numFmtId="0" fontId="3" fillId="2" borderId="1" xfId="0" applyFont="1" applyFill="1" applyBorder="1" applyAlignment="1">
      <alignment horizontal="center" vertical="center" wrapText="1"/>
    </xf>
    <xf numFmtId="164" fontId="13" fillId="0" borderId="0" xfId="0" applyNumberFormat="1" applyFont="1"/>
    <xf numFmtId="0" fontId="8" fillId="4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4" fillId="4" borderId="1" xfId="0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top" wrapText="1"/>
    </xf>
    <xf numFmtId="0" fontId="0" fillId="6" borderId="1" xfId="0" applyFill="1" applyBorder="1"/>
    <xf numFmtId="164" fontId="9" fillId="6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8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7" fillId="6" borderId="0" xfId="0" applyFont="1" applyFill="1" applyAlignment="1">
      <alignment horizontal="left" vertical="center"/>
    </xf>
    <xf numFmtId="0" fontId="0" fillId="6" borderId="0" xfId="0" applyFill="1"/>
    <xf numFmtId="0" fontId="4" fillId="3" borderId="1" xfId="0" applyFont="1" applyFill="1" applyBorder="1" applyAlignment="1">
      <alignment horizontal="left" vertical="center"/>
    </xf>
    <xf numFmtId="0" fontId="0" fillId="3" borderId="1" xfId="0" applyFill="1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9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6"/>
  <c:chart>
    <c:title>
      <c:tx>
        <c:rich>
          <a:bodyPr/>
          <a:lstStyle/>
          <a:p>
            <a:pPr>
              <a:defRPr/>
            </a:pPr>
            <a:r>
              <a:rPr lang="en-US"/>
              <a:t>Commercial Maturity — Team vs Business</a:t>
            </a:r>
          </a:p>
        </c:rich>
      </c:tx>
      <c:overlay val="1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Dashboard!$C$5</c:f>
              <c:strCache>
                <c:ptCount val="1"/>
                <c:pt idx="0">
                  <c:v>Team (Axis A)</c:v>
                </c:pt>
              </c:strCache>
            </c:strRef>
          </c:tx>
          <c:spPr>
            <a:ln w="25000">
              <a:solidFill>
                <a:srgbClr val="2E75B6"/>
              </a:solidFill>
              <a:prstDash val="solid"/>
            </a:ln>
          </c:spPr>
          <c:marker>
            <c:symbol val="none"/>
          </c:marker>
          <c:cat>
            <c:strRef>
              <c:f>Dashboard!$B$6:$B$10</c:f>
              <c:strCache>
                <c:ptCount val="5"/>
                <c:pt idx="0">
                  <c:v>Commercial Strategy &amp; Alignment</c:v>
                </c:pt>
                <c:pt idx="1">
                  <c:v>Processes &amp; Governance</c:v>
                </c:pt>
                <c:pt idx="2">
                  <c:v>Data &amp; Analytics</c:v>
                </c:pt>
                <c:pt idx="3">
                  <c:v>Capabilities &amp; Expertise</c:v>
                </c:pt>
                <c:pt idx="4">
                  <c:v>Cross-Functional Collaboration &amp; Enablement</c:v>
                </c:pt>
              </c:strCache>
            </c:strRef>
          </c:cat>
          <c:val>
            <c:numRef>
              <c:f>Dashboard!$C$6:$C$10</c:f>
              <c:numCache>
                <c:formatCode>0.0</c:formatCode>
                <c:ptCount val="5"/>
                <c:pt idx="0">
                  <c:v>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D-47DA-9E53-DE9B0259ACA1}"/>
            </c:ext>
          </c:extLst>
        </c:ser>
        <c:ser>
          <c:idx val="1"/>
          <c:order val="1"/>
          <c:tx>
            <c:strRef>
              <c:f>Dashboard!$D$5</c:f>
              <c:strCache>
                <c:ptCount val="1"/>
                <c:pt idx="0">
                  <c:v>Business (Axis B)</c:v>
                </c:pt>
              </c:strCache>
            </c:strRef>
          </c:tx>
          <c:spPr>
            <a:ln w="25000">
              <a:solidFill>
                <a:srgbClr val="FF8C00"/>
              </a:solidFill>
              <a:prstDash val="solid"/>
            </a:ln>
          </c:spPr>
          <c:marker>
            <c:symbol val="none"/>
          </c:marker>
          <c:cat>
            <c:strRef>
              <c:f>Dashboard!$B$6:$B$10</c:f>
              <c:strCache>
                <c:ptCount val="5"/>
                <c:pt idx="0">
                  <c:v>Commercial Strategy &amp; Alignment</c:v>
                </c:pt>
                <c:pt idx="1">
                  <c:v>Processes &amp; Governance</c:v>
                </c:pt>
                <c:pt idx="2">
                  <c:v>Data &amp; Analytics</c:v>
                </c:pt>
                <c:pt idx="3">
                  <c:v>Capabilities &amp; Expertise</c:v>
                </c:pt>
                <c:pt idx="4">
                  <c:v>Cross-Functional Collaboration &amp; Enablement</c:v>
                </c:pt>
              </c:strCache>
            </c:strRef>
          </c:cat>
          <c:val>
            <c:numRef>
              <c:f>Dashboard!$D$6:$D$10</c:f>
              <c:numCache>
                <c:formatCode>0.0</c:formatCode>
                <c:ptCount val="5"/>
                <c:pt idx="0">
                  <c:v>2.5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CD-47DA-9E53-DE9B0259A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5"/>
          <c:min val="0"/>
        </c:scaling>
        <c:delete val="1"/>
        <c:axPos val="l"/>
        <c:majorGridlines/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297996</xdr:colOff>
      <xdr:row>4</xdr:row>
      <xdr:rowOff>6260</xdr:rowOff>
    </xdr:from>
    <xdr:ext cx="64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92"/>
  <sheetViews>
    <sheetView zoomScale="70" zoomScaleNormal="70" workbookViewId="0">
      <pane xSplit="1" ySplit="3" topLeftCell="B4" activePane="bottomRight" state="frozen"/>
      <selection pane="topRight"/>
      <selection pane="bottomLeft"/>
      <selection pane="bottomRight" activeCell="M81" sqref="M81"/>
    </sheetView>
  </sheetViews>
  <sheetFormatPr baseColWidth="10" defaultColWidth="8.83203125" defaultRowHeight="15" x14ac:dyDescent="0.2"/>
  <cols>
    <col min="1" max="1" width="5" customWidth="1"/>
    <col min="2" max="2" width="10" customWidth="1"/>
    <col min="3" max="3" width="38" customWidth="1"/>
    <col min="4" max="5" width="14" customWidth="1"/>
    <col min="6" max="7" width="10" customWidth="1"/>
    <col min="8" max="8" width="32" customWidth="1"/>
    <col min="9" max="10" width="12" customWidth="1"/>
    <col min="11" max="11" width="30" customWidth="1"/>
    <col min="12" max="12" width="18" customWidth="1"/>
    <col min="13" max="13" width="14" customWidth="1"/>
  </cols>
  <sheetData>
    <row r="1" spans="2:9" ht="45" customHeight="1" x14ac:dyDescent="0.2">
      <c r="B1" s="43" t="s">
        <v>0</v>
      </c>
      <c r="C1" s="40"/>
      <c r="D1" s="40"/>
      <c r="E1" s="40"/>
    </row>
    <row r="2" spans="2:9" x14ac:dyDescent="0.2">
      <c r="B2" s="45" t="s">
        <v>1</v>
      </c>
      <c r="C2" s="40"/>
      <c r="D2" s="40"/>
      <c r="E2" s="40"/>
    </row>
    <row r="4" spans="2:9" ht="16" x14ac:dyDescent="0.2">
      <c r="B4" s="44" t="s">
        <v>2</v>
      </c>
      <c r="C4" s="40"/>
      <c r="D4" s="40"/>
      <c r="E4" s="40"/>
      <c r="G4" s="1" t="s">
        <v>3</v>
      </c>
      <c r="H4" s="1" t="s">
        <v>4</v>
      </c>
      <c r="I4" s="1" t="s">
        <v>5</v>
      </c>
    </row>
    <row r="5" spans="2:9" ht="16" x14ac:dyDescent="0.2">
      <c r="B5" s="2" t="s">
        <v>3</v>
      </c>
      <c r="C5" s="2" t="s">
        <v>6</v>
      </c>
      <c r="D5" s="2" t="s">
        <v>7</v>
      </c>
      <c r="E5" s="2" t="s">
        <v>8</v>
      </c>
      <c r="G5" s="1" t="s">
        <v>9</v>
      </c>
      <c r="H5" s="3">
        <f t="shared" ref="H5:I9" si="0">C6</f>
        <v>3</v>
      </c>
      <c r="I5" s="3">
        <f t="shared" si="0"/>
        <v>2.5</v>
      </c>
    </row>
    <row r="6" spans="2:9" ht="45" x14ac:dyDescent="0.2">
      <c r="B6" s="4" t="s">
        <v>10</v>
      </c>
      <c r="C6" s="5">
        <f>'Team Assessment (Axis A)'!D42</f>
        <v>3</v>
      </c>
      <c r="D6" s="5">
        <f>'Business Assessment (Axis B)'!D42</f>
        <v>2.5</v>
      </c>
      <c r="E6" s="5">
        <f>IFERROR(C6-D6,"")</f>
        <v>0.5</v>
      </c>
      <c r="G6" s="1" t="s">
        <v>11</v>
      </c>
      <c r="H6" s="3" t="str">
        <f t="shared" si="0"/>
        <v/>
      </c>
      <c r="I6" s="3" t="str">
        <f t="shared" si="0"/>
        <v/>
      </c>
    </row>
    <row r="7" spans="2:9" ht="30" x14ac:dyDescent="0.2">
      <c r="B7" s="6" t="s">
        <v>12</v>
      </c>
      <c r="C7" s="7" t="str">
        <f>'Team Assessment (Axis A)'!D43</f>
        <v/>
      </c>
      <c r="D7" s="7" t="str">
        <f>'Business Assessment (Axis B)'!D43</f>
        <v/>
      </c>
      <c r="E7" s="7" t="str">
        <f>IFERROR(C7-D7,"")</f>
        <v/>
      </c>
      <c r="G7" s="1" t="s">
        <v>13</v>
      </c>
      <c r="H7" s="3" t="str">
        <f t="shared" si="0"/>
        <v/>
      </c>
      <c r="I7" s="3" t="str">
        <f t="shared" si="0"/>
        <v/>
      </c>
    </row>
    <row r="8" spans="2:9" ht="30" x14ac:dyDescent="0.2">
      <c r="B8" s="4" t="s">
        <v>14</v>
      </c>
      <c r="C8" s="5" t="str">
        <f>'Team Assessment (Axis A)'!D44</f>
        <v/>
      </c>
      <c r="D8" s="5" t="str">
        <f>'Business Assessment (Axis B)'!D44</f>
        <v/>
      </c>
      <c r="E8" s="5" t="str">
        <f>IFERROR(C8-D8,"")</f>
        <v/>
      </c>
      <c r="G8" s="1" t="s">
        <v>15</v>
      </c>
      <c r="H8" s="3" t="str">
        <f t="shared" si="0"/>
        <v/>
      </c>
      <c r="I8" s="3" t="str">
        <f t="shared" si="0"/>
        <v/>
      </c>
    </row>
    <row r="9" spans="2:9" ht="30" x14ac:dyDescent="0.2">
      <c r="B9" s="6" t="s">
        <v>16</v>
      </c>
      <c r="C9" s="7" t="str">
        <f>'Team Assessment (Axis A)'!D45</f>
        <v/>
      </c>
      <c r="D9" s="7" t="str">
        <f>'Business Assessment (Axis B)'!D45</f>
        <v/>
      </c>
      <c r="E9" s="7" t="str">
        <f>IFERROR(C9-D9,"")</f>
        <v/>
      </c>
      <c r="G9" s="1" t="s">
        <v>17</v>
      </c>
      <c r="H9" s="3" t="str">
        <f t="shared" si="0"/>
        <v/>
      </c>
      <c r="I9" s="3" t="str">
        <f t="shared" si="0"/>
        <v/>
      </c>
    </row>
    <row r="10" spans="2:9" ht="75" x14ac:dyDescent="0.2">
      <c r="B10" s="4" t="s">
        <v>18</v>
      </c>
      <c r="C10" s="5" t="str">
        <f>'Team Assessment (Axis A)'!D46</f>
        <v/>
      </c>
      <c r="D10" s="5" t="str">
        <f>'Business Assessment (Axis B)'!D46</f>
        <v/>
      </c>
      <c r="E10" s="5" t="str">
        <f>IFERROR(C10-D10,"")</f>
        <v/>
      </c>
    </row>
    <row r="11" spans="2:9" ht="32" x14ac:dyDescent="0.2">
      <c r="B11" s="8" t="s">
        <v>19</v>
      </c>
      <c r="C11" s="9">
        <f>IFERROR(AVERAGE(C6:C10),"")</f>
        <v>3</v>
      </c>
      <c r="D11" s="9">
        <f>IFERROR(AVERAGE(D6:D10),"")</f>
        <v>2.5</v>
      </c>
      <c r="E11" s="9">
        <f>IFERROR(AVERAGE(E6:E10),"")</f>
        <v>0.5</v>
      </c>
    </row>
    <row r="37" spans="2:6" ht="16" x14ac:dyDescent="0.2">
      <c r="B37" s="44" t="s">
        <v>20</v>
      </c>
      <c r="C37" s="40"/>
      <c r="D37" s="40"/>
      <c r="E37" s="40"/>
    </row>
    <row r="38" spans="2:6" ht="16" x14ac:dyDescent="0.2">
      <c r="B38" s="2" t="s">
        <v>21</v>
      </c>
      <c r="C38" s="2" t="s">
        <v>22</v>
      </c>
      <c r="D38" s="2" t="s">
        <v>4</v>
      </c>
      <c r="E38" s="2" t="s">
        <v>5</v>
      </c>
      <c r="F38" s="2" t="s">
        <v>23</v>
      </c>
    </row>
    <row r="39" spans="2:6" x14ac:dyDescent="0.2">
      <c r="B39" s="42" t="s">
        <v>10</v>
      </c>
      <c r="C39" s="38"/>
      <c r="D39" s="38"/>
      <c r="E39" s="38"/>
      <c r="F39" s="38"/>
    </row>
    <row r="40" spans="2:6" x14ac:dyDescent="0.2">
      <c r="B40" s="10" t="s">
        <v>24</v>
      </c>
      <c r="C40" s="11" t="s">
        <v>25</v>
      </c>
      <c r="D40" s="12">
        <f>'Team Assessment (Axis A)'!D6</f>
        <v>3</v>
      </c>
      <c r="E40" s="12">
        <f>'Business Assessment (Axis B)'!D6</f>
        <v>2</v>
      </c>
      <c r="F40" s="13">
        <f t="shared" ref="F40:F45" si="1">IFERROR(D40-E40,"")</f>
        <v>1</v>
      </c>
    </row>
    <row r="41" spans="2:6" x14ac:dyDescent="0.2">
      <c r="B41" s="14" t="s">
        <v>26</v>
      </c>
      <c r="C41" s="15" t="s">
        <v>27</v>
      </c>
      <c r="D41" s="16">
        <f>'Team Assessment (Axis A)'!D7</f>
        <v>3</v>
      </c>
      <c r="E41" s="16">
        <f>'Business Assessment (Axis B)'!D7</f>
        <v>3</v>
      </c>
      <c r="F41" s="17">
        <f t="shared" si="1"/>
        <v>0</v>
      </c>
    </row>
    <row r="42" spans="2:6" x14ac:dyDescent="0.2">
      <c r="B42" s="10" t="s">
        <v>28</v>
      </c>
      <c r="C42" s="11" t="s">
        <v>29</v>
      </c>
      <c r="D42" s="12">
        <f>'Team Assessment (Axis A)'!D8</f>
        <v>0</v>
      </c>
      <c r="E42" s="12">
        <f>'Business Assessment (Axis B)'!D8</f>
        <v>0</v>
      </c>
      <c r="F42" s="13">
        <f t="shared" si="1"/>
        <v>0</v>
      </c>
    </row>
    <row r="43" spans="2:6" x14ac:dyDescent="0.2">
      <c r="B43" s="14" t="s">
        <v>30</v>
      </c>
      <c r="C43" s="15" t="s">
        <v>31</v>
      </c>
      <c r="D43" s="16">
        <f>'Team Assessment (Axis A)'!D9</f>
        <v>0</v>
      </c>
      <c r="E43" s="16">
        <f>'Business Assessment (Axis B)'!D9</f>
        <v>0</v>
      </c>
      <c r="F43" s="17">
        <f t="shared" si="1"/>
        <v>0</v>
      </c>
    </row>
    <row r="44" spans="2:6" x14ac:dyDescent="0.2">
      <c r="B44" s="10" t="s">
        <v>32</v>
      </c>
      <c r="C44" s="11" t="s">
        <v>33</v>
      </c>
      <c r="D44" s="12">
        <f>'Team Assessment (Axis A)'!D10</f>
        <v>0</v>
      </c>
      <c r="E44" s="12">
        <f>'Business Assessment (Axis B)'!D10</f>
        <v>0</v>
      </c>
      <c r="F44" s="13">
        <f t="shared" si="1"/>
        <v>0</v>
      </c>
    </row>
    <row r="45" spans="2:6" x14ac:dyDescent="0.2">
      <c r="B45" s="14" t="s">
        <v>34</v>
      </c>
      <c r="C45" s="15" t="s">
        <v>35</v>
      </c>
      <c r="D45" s="16">
        <f>'Team Assessment (Axis A)'!D11</f>
        <v>0</v>
      </c>
      <c r="E45" s="16">
        <f>'Business Assessment (Axis B)'!D11</f>
        <v>0</v>
      </c>
      <c r="F45" s="17">
        <f t="shared" si="1"/>
        <v>0</v>
      </c>
    </row>
    <row r="46" spans="2:6" x14ac:dyDescent="0.2">
      <c r="B46" s="42" t="s">
        <v>12</v>
      </c>
      <c r="C46" s="38"/>
      <c r="D46" s="38"/>
      <c r="E46" s="38"/>
      <c r="F46" s="38"/>
    </row>
    <row r="47" spans="2:6" x14ac:dyDescent="0.2">
      <c r="B47" s="10" t="s">
        <v>36</v>
      </c>
      <c r="C47" s="11" t="s">
        <v>37</v>
      </c>
      <c r="D47" s="12">
        <f>'Team Assessment (Axis A)'!D13</f>
        <v>0</v>
      </c>
      <c r="E47" s="12">
        <f>'Business Assessment (Axis B)'!D13</f>
        <v>0</v>
      </c>
      <c r="F47" s="13">
        <f t="shared" ref="F47:F52" si="2">IFERROR(D47-E47,"")</f>
        <v>0</v>
      </c>
    </row>
    <row r="48" spans="2:6" x14ac:dyDescent="0.2">
      <c r="B48" s="14" t="s">
        <v>38</v>
      </c>
      <c r="C48" s="15" t="s">
        <v>39</v>
      </c>
      <c r="D48" s="16">
        <f>'Team Assessment (Axis A)'!D14</f>
        <v>0</v>
      </c>
      <c r="E48" s="16">
        <f>'Business Assessment (Axis B)'!D14</f>
        <v>0</v>
      </c>
      <c r="F48" s="17">
        <f t="shared" si="2"/>
        <v>0</v>
      </c>
    </row>
    <row r="49" spans="2:6" x14ac:dyDescent="0.2">
      <c r="B49" s="10" t="s">
        <v>40</v>
      </c>
      <c r="C49" s="11" t="s">
        <v>41</v>
      </c>
      <c r="D49" s="12">
        <f>'Team Assessment (Axis A)'!D15</f>
        <v>0</v>
      </c>
      <c r="E49" s="12">
        <f>'Business Assessment (Axis B)'!D15</f>
        <v>0</v>
      </c>
      <c r="F49" s="13">
        <f t="shared" si="2"/>
        <v>0</v>
      </c>
    </row>
    <row r="50" spans="2:6" x14ac:dyDescent="0.2">
      <c r="B50" s="14" t="s">
        <v>42</v>
      </c>
      <c r="C50" s="15" t="s">
        <v>43</v>
      </c>
      <c r="D50" s="16">
        <f>'Team Assessment (Axis A)'!D16</f>
        <v>0</v>
      </c>
      <c r="E50" s="16">
        <f>'Business Assessment (Axis B)'!D16</f>
        <v>0</v>
      </c>
      <c r="F50" s="17">
        <f t="shared" si="2"/>
        <v>0</v>
      </c>
    </row>
    <row r="51" spans="2:6" x14ac:dyDescent="0.2">
      <c r="B51" s="10" t="s">
        <v>44</v>
      </c>
      <c r="C51" s="11" t="s">
        <v>45</v>
      </c>
      <c r="D51" s="12">
        <f>'Team Assessment (Axis A)'!D17</f>
        <v>0</v>
      </c>
      <c r="E51" s="12">
        <f>'Business Assessment (Axis B)'!D17</f>
        <v>0</v>
      </c>
      <c r="F51" s="13">
        <f t="shared" si="2"/>
        <v>0</v>
      </c>
    </row>
    <row r="52" spans="2:6" x14ac:dyDescent="0.2">
      <c r="B52" s="14" t="s">
        <v>46</v>
      </c>
      <c r="C52" s="15" t="s">
        <v>47</v>
      </c>
      <c r="D52" s="16">
        <f>'Team Assessment (Axis A)'!D18</f>
        <v>0</v>
      </c>
      <c r="E52" s="16">
        <f>'Business Assessment (Axis B)'!D18</f>
        <v>0</v>
      </c>
      <c r="F52" s="17">
        <f t="shared" si="2"/>
        <v>0</v>
      </c>
    </row>
    <row r="53" spans="2:6" x14ac:dyDescent="0.2">
      <c r="B53" s="42" t="s">
        <v>14</v>
      </c>
      <c r="C53" s="38"/>
      <c r="D53" s="38"/>
      <c r="E53" s="38"/>
      <c r="F53" s="38"/>
    </row>
    <row r="54" spans="2:6" x14ac:dyDescent="0.2">
      <c r="B54" s="10" t="s">
        <v>48</v>
      </c>
      <c r="C54" s="11" t="s">
        <v>49</v>
      </c>
      <c r="D54" s="12">
        <f>'Team Assessment (Axis A)'!D20</f>
        <v>0</v>
      </c>
      <c r="E54" s="12">
        <f>'Business Assessment (Axis B)'!D20</f>
        <v>0</v>
      </c>
      <c r="F54" s="13">
        <f t="shared" ref="F54:F59" si="3">IFERROR(D54-E54,"")</f>
        <v>0</v>
      </c>
    </row>
    <row r="55" spans="2:6" x14ac:dyDescent="0.2">
      <c r="B55" s="14" t="s">
        <v>50</v>
      </c>
      <c r="C55" s="15" t="s">
        <v>51</v>
      </c>
      <c r="D55" s="16">
        <f>'Team Assessment (Axis A)'!D21</f>
        <v>0</v>
      </c>
      <c r="E55" s="16">
        <f>'Business Assessment (Axis B)'!D21</f>
        <v>0</v>
      </c>
      <c r="F55" s="17">
        <f t="shared" si="3"/>
        <v>0</v>
      </c>
    </row>
    <row r="56" spans="2:6" x14ac:dyDescent="0.2">
      <c r="B56" s="10" t="s">
        <v>52</v>
      </c>
      <c r="C56" s="11" t="s">
        <v>53</v>
      </c>
      <c r="D56" s="12">
        <f>'Team Assessment (Axis A)'!D22</f>
        <v>0</v>
      </c>
      <c r="E56" s="12">
        <f>'Business Assessment (Axis B)'!D22</f>
        <v>0</v>
      </c>
      <c r="F56" s="13">
        <f t="shared" si="3"/>
        <v>0</v>
      </c>
    </row>
    <row r="57" spans="2:6" x14ac:dyDescent="0.2">
      <c r="B57" s="14" t="s">
        <v>54</v>
      </c>
      <c r="C57" s="15" t="s">
        <v>55</v>
      </c>
      <c r="D57" s="16">
        <f>'Team Assessment (Axis A)'!D23</f>
        <v>0</v>
      </c>
      <c r="E57" s="16">
        <f>'Business Assessment (Axis B)'!D23</f>
        <v>0</v>
      </c>
      <c r="F57" s="17">
        <f t="shared" si="3"/>
        <v>0</v>
      </c>
    </row>
    <row r="58" spans="2:6" x14ac:dyDescent="0.2">
      <c r="B58" s="10" t="s">
        <v>56</v>
      </c>
      <c r="C58" s="11" t="s">
        <v>57</v>
      </c>
      <c r="D58" s="12">
        <f>'Team Assessment (Axis A)'!D24</f>
        <v>0</v>
      </c>
      <c r="E58" s="12">
        <f>'Business Assessment (Axis B)'!D24</f>
        <v>0</v>
      </c>
      <c r="F58" s="13">
        <f t="shared" si="3"/>
        <v>0</v>
      </c>
    </row>
    <row r="59" spans="2:6" x14ac:dyDescent="0.2">
      <c r="B59" s="14" t="s">
        <v>58</v>
      </c>
      <c r="C59" s="15" t="s">
        <v>59</v>
      </c>
      <c r="D59" s="16">
        <f>'Team Assessment (Axis A)'!D25</f>
        <v>0</v>
      </c>
      <c r="E59" s="16">
        <f>'Business Assessment (Axis B)'!D25</f>
        <v>0</v>
      </c>
      <c r="F59" s="17">
        <f t="shared" si="3"/>
        <v>0</v>
      </c>
    </row>
    <row r="60" spans="2:6" x14ac:dyDescent="0.2">
      <c r="B60" s="42" t="s">
        <v>16</v>
      </c>
      <c r="C60" s="38"/>
      <c r="D60" s="38"/>
      <c r="E60" s="38"/>
      <c r="F60" s="38"/>
    </row>
    <row r="61" spans="2:6" x14ac:dyDescent="0.2">
      <c r="B61" s="10" t="s">
        <v>60</v>
      </c>
      <c r="C61" s="11" t="s">
        <v>61</v>
      </c>
      <c r="D61" s="12">
        <f>'Team Assessment (Axis A)'!D27</f>
        <v>0</v>
      </c>
      <c r="E61" s="12">
        <f>'Business Assessment (Axis B)'!D27</f>
        <v>0</v>
      </c>
      <c r="F61" s="13">
        <f t="shared" ref="F61:F66" si="4">IFERROR(D61-E61,"")</f>
        <v>0</v>
      </c>
    </row>
    <row r="62" spans="2:6" x14ac:dyDescent="0.2">
      <c r="B62" s="14" t="s">
        <v>62</v>
      </c>
      <c r="C62" s="15" t="s">
        <v>63</v>
      </c>
      <c r="D62" s="16">
        <f>'Team Assessment (Axis A)'!D28</f>
        <v>0</v>
      </c>
      <c r="E62" s="16">
        <f>'Business Assessment (Axis B)'!D28</f>
        <v>0</v>
      </c>
      <c r="F62" s="17">
        <f t="shared" si="4"/>
        <v>0</v>
      </c>
    </row>
    <row r="63" spans="2:6" x14ac:dyDescent="0.2">
      <c r="B63" s="10" t="s">
        <v>64</v>
      </c>
      <c r="C63" s="11" t="s">
        <v>65</v>
      </c>
      <c r="D63" s="12">
        <f>'Team Assessment (Axis A)'!D29</f>
        <v>0</v>
      </c>
      <c r="E63" s="12">
        <f>'Business Assessment (Axis B)'!D29</f>
        <v>0</v>
      </c>
      <c r="F63" s="13">
        <f t="shared" si="4"/>
        <v>0</v>
      </c>
    </row>
    <row r="64" spans="2:6" x14ac:dyDescent="0.2">
      <c r="B64" s="14" t="s">
        <v>66</v>
      </c>
      <c r="C64" s="15" t="s">
        <v>67</v>
      </c>
      <c r="D64" s="16">
        <f>'Team Assessment (Axis A)'!D30</f>
        <v>0</v>
      </c>
      <c r="E64" s="16">
        <f>'Business Assessment (Axis B)'!D30</f>
        <v>0</v>
      </c>
      <c r="F64" s="17">
        <f t="shared" si="4"/>
        <v>0</v>
      </c>
    </row>
    <row r="65" spans="2:13" x14ac:dyDescent="0.2">
      <c r="B65" s="10" t="s">
        <v>68</v>
      </c>
      <c r="C65" s="11" t="s">
        <v>69</v>
      </c>
      <c r="D65" s="12">
        <f>'Team Assessment (Axis A)'!D31</f>
        <v>0</v>
      </c>
      <c r="E65" s="12">
        <f>'Business Assessment (Axis B)'!D31</f>
        <v>0</v>
      </c>
      <c r="F65" s="13">
        <f t="shared" si="4"/>
        <v>0</v>
      </c>
    </row>
    <row r="66" spans="2:13" x14ac:dyDescent="0.2">
      <c r="B66" s="14" t="s">
        <v>70</v>
      </c>
      <c r="C66" s="15" t="s">
        <v>71</v>
      </c>
      <c r="D66" s="16">
        <f>'Team Assessment (Axis A)'!D32</f>
        <v>0</v>
      </c>
      <c r="E66" s="16">
        <f>'Business Assessment (Axis B)'!D32</f>
        <v>0</v>
      </c>
      <c r="F66" s="17">
        <f t="shared" si="4"/>
        <v>0</v>
      </c>
    </row>
    <row r="67" spans="2:13" x14ac:dyDescent="0.2">
      <c r="B67" s="42" t="s">
        <v>18</v>
      </c>
      <c r="C67" s="38"/>
      <c r="D67" s="38"/>
      <c r="E67" s="38"/>
      <c r="F67" s="38"/>
    </row>
    <row r="68" spans="2:13" x14ac:dyDescent="0.2">
      <c r="B68" s="10" t="s">
        <v>72</v>
      </c>
      <c r="C68" s="11" t="s">
        <v>73</v>
      </c>
      <c r="D68" s="12">
        <f>'Team Assessment (Axis A)'!D34</f>
        <v>0</v>
      </c>
      <c r="E68" s="12">
        <f>'Business Assessment (Axis B)'!D34</f>
        <v>0</v>
      </c>
      <c r="F68" s="13">
        <f t="shared" ref="F68:F73" si="5">IFERROR(D68-E68,"")</f>
        <v>0</v>
      </c>
    </row>
    <row r="69" spans="2:13" x14ac:dyDescent="0.2">
      <c r="B69" s="14" t="s">
        <v>74</v>
      </c>
      <c r="C69" s="15" t="s">
        <v>75</v>
      </c>
      <c r="D69" s="16">
        <f>'Team Assessment (Axis A)'!D35</f>
        <v>0</v>
      </c>
      <c r="E69" s="16">
        <f>'Business Assessment (Axis B)'!D35</f>
        <v>0</v>
      </c>
      <c r="F69" s="17">
        <f t="shared" si="5"/>
        <v>0</v>
      </c>
    </row>
    <row r="70" spans="2:13" x14ac:dyDescent="0.2">
      <c r="B70" s="10" t="s">
        <v>76</v>
      </c>
      <c r="C70" s="11" t="s">
        <v>77</v>
      </c>
      <c r="D70" s="12">
        <f>'Team Assessment (Axis A)'!D36</f>
        <v>0</v>
      </c>
      <c r="E70" s="12">
        <f>'Business Assessment (Axis B)'!D36</f>
        <v>0</v>
      </c>
      <c r="F70" s="13">
        <f t="shared" si="5"/>
        <v>0</v>
      </c>
    </row>
    <row r="71" spans="2:13" x14ac:dyDescent="0.2">
      <c r="B71" s="14" t="s">
        <v>78</v>
      </c>
      <c r="C71" s="15" t="s">
        <v>79</v>
      </c>
      <c r="D71" s="16">
        <f>'Team Assessment (Axis A)'!D37</f>
        <v>0</v>
      </c>
      <c r="E71" s="16">
        <f>'Business Assessment (Axis B)'!D37</f>
        <v>0</v>
      </c>
      <c r="F71" s="17">
        <f t="shared" si="5"/>
        <v>0</v>
      </c>
    </row>
    <row r="72" spans="2:13" x14ac:dyDescent="0.2">
      <c r="B72" s="10" t="s">
        <v>80</v>
      </c>
      <c r="C72" s="11" t="s">
        <v>81</v>
      </c>
      <c r="D72" s="12">
        <f>'Team Assessment (Axis A)'!D38</f>
        <v>0</v>
      </c>
      <c r="E72" s="12">
        <f>'Business Assessment (Axis B)'!D38</f>
        <v>0</v>
      </c>
      <c r="F72" s="13">
        <f t="shared" si="5"/>
        <v>0</v>
      </c>
    </row>
    <row r="73" spans="2:13" x14ac:dyDescent="0.2">
      <c r="B73" s="14" t="s">
        <v>82</v>
      </c>
      <c r="C73" s="15" t="s">
        <v>83</v>
      </c>
      <c r="D73" s="16">
        <f>'Team Assessment (Axis A)'!D39</f>
        <v>0</v>
      </c>
      <c r="E73" s="16">
        <f>'Business Assessment (Axis B)'!D39</f>
        <v>0</v>
      </c>
      <c r="F73" s="17">
        <f t="shared" si="5"/>
        <v>0</v>
      </c>
    </row>
    <row r="76" spans="2:13" ht="16" x14ac:dyDescent="0.2">
      <c r="B76" s="44" t="s">
        <v>84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</row>
    <row r="77" spans="2:13" ht="32" x14ac:dyDescent="0.2">
      <c r="B77" s="2" t="s">
        <v>85</v>
      </c>
      <c r="C77" s="2" t="s">
        <v>86</v>
      </c>
      <c r="D77" s="2" t="s">
        <v>3</v>
      </c>
      <c r="E77" s="2" t="s">
        <v>22</v>
      </c>
      <c r="F77" s="2" t="s">
        <v>87</v>
      </c>
      <c r="G77" s="2" t="s">
        <v>88</v>
      </c>
      <c r="H77" s="2" t="s">
        <v>89</v>
      </c>
      <c r="I77" s="2" t="s">
        <v>90</v>
      </c>
      <c r="J77" s="2" t="s">
        <v>91</v>
      </c>
    </row>
    <row r="78" spans="2:13" ht="30" customHeight="1" x14ac:dyDescent="0.2">
      <c r="B78" s="18" t="s">
        <v>92</v>
      </c>
      <c r="C78" s="18" t="s">
        <v>93</v>
      </c>
      <c r="D78" s="18"/>
      <c r="E78" s="18"/>
      <c r="F78" s="18"/>
      <c r="G78" s="18"/>
      <c r="H78" s="19"/>
      <c r="I78" s="19"/>
      <c r="J78" s="19"/>
    </row>
    <row r="79" spans="2:13" ht="30" customHeight="1" x14ac:dyDescent="0.2">
      <c r="B79" s="18" t="s">
        <v>92</v>
      </c>
      <c r="C79" s="18" t="s">
        <v>93</v>
      </c>
      <c r="D79" s="18"/>
      <c r="E79" s="18"/>
      <c r="F79" s="18"/>
      <c r="G79" s="18"/>
      <c r="H79" s="19"/>
      <c r="I79" s="19"/>
      <c r="J79" s="19"/>
    </row>
    <row r="80" spans="2:13" ht="30" customHeight="1" x14ac:dyDescent="0.2">
      <c r="B80" s="18" t="s">
        <v>92</v>
      </c>
      <c r="C80" s="18" t="s">
        <v>93</v>
      </c>
      <c r="D80" s="18"/>
      <c r="E80" s="18"/>
      <c r="F80" s="18"/>
      <c r="G80" s="18"/>
      <c r="H80" s="19"/>
      <c r="I80" s="19"/>
      <c r="J80" s="19"/>
    </row>
    <row r="81" spans="2:10" ht="30" customHeight="1" x14ac:dyDescent="0.2">
      <c r="B81" s="20" t="s">
        <v>94</v>
      </c>
      <c r="C81" s="20" t="s">
        <v>95</v>
      </c>
      <c r="D81" s="20"/>
      <c r="E81" s="20"/>
      <c r="F81" s="20"/>
      <c r="G81" s="20"/>
      <c r="H81" s="21"/>
      <c r="I81" s="21"/>
      <c r="J81" s="21"/>
    </row>
    <row r="82" spans="2:10" ht="30" customHeight="1" x14ac:dyDescent="0.2">
      <c r="B82" s="20" t="s">
        <v>94</v>
      </c>
      <c r="C82" s="20" t="s">
        <v>95</v>
      </c>
      <c r="D82" s="20"/>
      <c r="E82" s="20"/>
      <c r="F82" s="20"/>
      <c r="G82" s="20"/>
      <c r="H82" s="21"/>
      <c r="I82" s="21"/>
      <c r="J82" s="21"/>
    </row>
    <row r="83" spans="2:10" ht="30" customHeight="1" x14ac:dyDescent="0.2">
      <c r="B83" s="20" t="s">
        <v>94</v>
      </c>
      <c r="C83" s="20" t="s">
        <v>95</v>
      </c>
      <c r="D83" s="20"/>
      <c r="E83" s="20"/>
      <c r="F83" s="20"/>
      <c r="G83" s="20"/>
      <c r="H83" s="21"/>
      <c r="I83" s="21"/>
      <c r="J83" s="21"/>
    </row>
    <row r="84" spans="2:10" ht="30" customHeight="1" x14ac:dyDescent="0.2">
      <c r="B84" s="22" t="s">
        <v>96</v>
      </c>
      <c r="C84" s="22" t="s">
        <v>97</v>
      </c>
      <c r="D84" s="22"/>
      <c r="E84" s="22"/>
      <c r="F84" s="22"/>
      <c r="G84" s="22"/>
      <c r="H84" s="23"/>
      <c r="I84" s="23"/>
      <c r="J84" s="23"/>
    </row>
    <row r="85" spans="2:10" ht="30" customHeight="1" x14ac:dyDescent="0.2">
      <c r="B85" s="22" t="s">
        <v>96</v>
      </c>
      <c r="C85" s="22" t="s">
        <v>97</v>
      </c>
      <c r="D85" s="22"/>
      <c r="E85" s="22"/>
      <c r="F85" s="22"/>
      <c r="G85" s="22"/>
      <c r="H85" s="23"/>
      <c r="I85" s="23"/>
      <c r="J85" s="23"/>
    </row>
    <row r="86" spans="2:10" ht="30" customHeight="1" x14ac:dyDescent="0.2">
      <c r="B86" s="22" t="s">
        <v>96</v>
      </c>
      <c r="C86" s="22" t="s">
        <v>97</v>
      </c>
      <c r="D86" s="22"/>
      <c r="E86" s="22"/>
      <c r="F86" s="22"/>
      <c r="G86" s="22"/>
      <c r="H86" s="23"/>
      <c r="I86" s="23"/>
      <c r="J86" s="23"/>
    </row>
    <row r="87" spans="2:10" ht="30" customHeight="1" x14ac:dyDescent="0.2">
      <c r="B87" s="24"/>
      <c r="C87" s="24"/>
      <c r="D87" s="24"/>
      <c r="E87" s="24"/>
      <c r="F87" s="24"/>
      <c r="G87" s="24"/>
      <c r="H87" s="25"/>
      <c r="I87" s="25"/>
      <c r="J87" s="25"/>
    </row>
    <row r="88" spans="2:10" ht="30" customHeight="1" x14ac:dyDescent="0.2">
      <c r="B88" s="24"/>
      <c r="C88" s="24"/>
      <c r="D88" s="24"/>
      <c r="E88" s="24"/>
      <c r="F88" s="24"/>
      <c r="G88" s="24"/>
      <c r="H88" s="25"/>
      <c r="I88" s="25"/>
      <c r="J88" s="25"/>
    </row>
    <row r="89" spans="2:10" ht="30" customHeight="1" x14ac:dyDescent="0.2">
      <c r="B89" s="24"/>
      <c r="C89" s="24"/>
      <c r="D89" s="24"/>
      <c r="E89" s="24"/>
      <c r="F89" s="24"/>
      <c r="G89" s="24"/>
      <c r="H89" s="25"/>
      <c r="I89" s="25"/>
      <c r="J89" s="25"/>
    </row>
    <row r="90" spans="2:10" ht="30" customHeight="1" x14ac:dyDescent="0.2">
      <c r="B90" s="24"/>
      <c r="C90" s="24"/>
      <c r="D90" s="24"/>
      <c r="E90" s="24"/>
      <c r="F90" s="24"/>
      <c r="G90" s="24"/>
      <c r="H90" s="25"/>
      <c r="I90" s="25"/>
      <c r="J90" s="25"/>
    </row>
    <row r="91" spans="2:10" ht="30" customHeight="1" x14ac:dyDescent="0.2">
      <c r="B91" s="24"/>
      <c r="C91" s="24"/>
      <c r="D91" s="24"/>
      <c r="E91" s="24"/>
      <c r="F91" s="24"/>
      <c r="G91" s="24"/>
      <c r="H91" s="25"/>
      <c r="I91" s="25"/>
      <c r="J91" s="25"/>
    </row>
    <row r="92" spans="2:10" ht="30" customHeight="1" x14ac:dyDescent="0.2">
      <c r="B92" s="24"/>
      <c r="C92" s="24"/>
      <c r="D92" s="24"/>
      <c r="E92" s="24"/>
      <c r="F92" s="24"/>
      <c r="G92" s="24"/>
      <c r="H92" s="25"/>
      <c r="I92" s="25"/>
      <c r="J92" s="25"/>
    </row>
  </sheetData>
  <mergeCells count="10">
    <mergeCell ref="B53:F53"/>
    <mergeCell ref="B1:E1"/>
    <mergeCell ref="B39:F39"/>
    <mergeCell ref="B4:E4"/>
    <mergeCell ref="B76:M76"/>
    <mergeCell ref="B60:F60"/>
    <mergeCell ref="B67:F67"/>
    <mergeCell ref="B46:F46"/>
    <mergeCell ref="B2:E2"/>
    <mergeCell ref="B37:E37"/>
  </mergeCells>
  <conditionalFormatting sqref="C6:C10">
    <cfRule type="colorScale" priority="1">
      <colorScale>
        <cfvo type="num" val="1"/>
        <cfvo type="num" val="3"/>
        <cfvo type="num" val="5"/>
        <color rgb="FFFF6B6B"/>
        <color rgb="FFFFD93D"/>
        <color rgb="FF4CAF50"/>
      </colorScale>
    </cfRule>
  </conditionalFormatting>
  <conditionalFormatting sqref="D6:D10">
    <cfRule type="colorScale" priority="2">
      <colorScale>
        <cfvo type="num" val="1"/>
        <cfvo type="num" val="3"/>
        <cfvo type="num" val="5"/>
        <color rgb="FFFF6B6B"/>
        <color rgb="FFFFD93D"/>
        <color rgb="FF4CAF50"/>
      </colorScale>
    </cfRule>
  </conditionalFormatting>
  <conditionalFormatting sqref="D39:D73">
    <cfRule type="colorScale" priority="4">
      <colorScale>
        <cfvo type="num" val="1"/>
        <cfvo type="num" val="3"/>
        <cfvo type="num" val="5"/>
        <color rgb="FFFF6B6B"/>
        <color rgb="FFFFD93D"/>
        <color rgb="FF4CAF50"/>
      </colorScale>
    </cfRule>
  </conditionalFormatting>
  <conditionalFormatting sqref="E6:E10">
    <cfRule type="colorScale" priority="3">
      <colorScale>
        <cfvo type="num" val="-3"/>
        <cfvo type="num" val="0"/>
        <cfvo type="num" val="3"/>
        <color rgb="FFFF6B6B"/>
        <color rgb="FFFFD93D"/>
        <color rgb="FF4CAF50"/>
      </colorScale>
    </cfRule>
  </conditionalFormatting>
  <conditionalFormatting sqref="E39:E73">
    <cfRule type="colorScale" priority="5">
      <colorScale>
        <cfvo type="num" val="1"/>
        <cfvo type="num" val="3"/>
        <cfvo type="num" val="5"/>
        <color rgb="FFFF6B6B"/>
        <color rgb="FFFFD93D"/>
        <color rgb="FF4CAF50"/>
      </colorScale>
    </cfRule>
  </conditionalFormatting>
  <conditionalFormatting sqref="F39:F73">
    <cfRule type="colorScale" priority="6">
      <colorScale>
        <cfvo type="num" val="-3"/>
        <cfvo type="num" val="0"/>
        <cfvo type="num" val="3"/>
        <color rgb="FFFF6B6B"/>
        <color rgb="FFFFD93D"/>
        <color rgb="FF4CAF50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abSelected="1" workbookViewId="0">
      <pane ySplit="4" topLeftCell="A57" activePane="bottomLeft" state="frozen"/>
      <selection pane="bottomLeft" activeCell="D7" sqref="D7"/>
    </sheetView>
  </sheetViews>
  <sheetFormatPr baseColWidth="10" defaultColWidth="8.83203125" defaultRowHeight="15" x14ac:dyDescent="0.2"/>
  <cols>
    <col min="1" max="1" width="30" customWidth="1"/>
    <col min="2" max="2" width="6" customWidth="1"/>
    <col min="3" max="3" width="35" customWidth="1"/>
    <col min="4" max="4" width="10" customWidth="1"/>
    <col min="5" max="5" width="40.5" customWidth="1"/>
    <col min="6" max="7" width="37.83203125" customWidth="1"/>
    <col min="8" max="8" width="30" customWidth="1"/>
    <col min="9" max="9" width="18" customWidth="1"/>
    <col min="10" max="10" width="14" customWidth="1"/>
  </cols>
  <sheetData>
    <row r="1" spans="1:10" ht="35" customHeight="1" x14ac:dyDescent="0.2">
      <c r="A1" s="39" t="s">
        <v>98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">
      <c r="A2" s="41" t="s">
        <v>99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2">
      <c r="A3" s="32" t="s">
        <v>100</v>
      </c>
    </row>
    <row r="4" spans="1:10" ht="30" customHeight="1" x14ac:dyDescent="0.2">
      <c r="A4" s="2" t="s">
        <v>3</v>
      </c>
      <c r="B4" s="2" t="s">
        <v>21</v>
      </c>
      <c r="C4" s="2" t="s">
        <v>22</v>
      </c>
      <c r="D4" s="2" t="s">
        <v>101</v>
      </c>
      <c r="E4" s="2" t="s">
        <v>102</v>
      </c>
      <c r="F4" s="2" t="s">
        <v>103</v>
      </c>
      <c r="G4" s="2" t="s">
        <v>104</v>
      </c>
      <c r="H4" s="2" t="s">
        <v>105</v>
      </c>
      <c r="I4" s="2" t="s">
        <v>90</v>
      </c>
      <c r="J4" s="2" t="s">
        <v>91</v>
      </c>
    </row>
    <row r="5" spans="1:10" ht="25" customHeight="1" x14ac:dyDescent="0.2">
      <c r="A5" s="37" t="s">
        <v>10</v>
      </c>
      <c r="B5" s="38"/>
      <c r="C5" s="38"/>
      <c r="D5" s="38"/>
      <c r="E5" s="38"/>
      <c r="F5" s="38"/>
      <c r="G5" s="38"/>
      <c r="H5" s="38"/>
      <c r="I5" s="38"/>
      <c r="J5" s="38"/>
    </row>
    <row r="6" spans="1:10" ht="77.25" customHeight="1" x14ac:dyDescent="0.2">
      <c r="A6" s="11" t="s">
        <v>10</v>
      </c>
      <c r="B6" s="11" t="s">
        <v>24</v>
      </c>
      <c r="C6" s="11" t="s">
        <v>25</v>
      </c>
      <c r="D6" s="26">
        <v>3</v>
      </c>
      <c r="E6" s="27" t="s">
        <v>106</v>
      </c>
      <c r="F6" s="27"/>
      <c r="G6" s="27"/>
      <c r="H6" s="27"/>
      <c r="I6" s="27"/>
      <c r="J6" s="27"/>
    </row>
    <row r="7" spans="1:10" ht="55.5" customHeight="1" x14ac:dyDescent="0.2">
      <c r="A7" s="15" t="s">
        <v>10</v>
      </c>
      <c r="B7" s="15" t="s">
        <v>26</v>
      </c>
      <c r="C7" s="15" t="s">
        <v>27</v>
      </c>
      <c r="D7" s="28">
        <v>3</v>
      </c>
      <c r="E7" s="29"/>
      <c r="F7" s="29"/>
      <c r="G7" s="29"/>
      <c r="H7" s="29"/>
      <c r="I7" s="29"/>
      <c r="J7" s="29"/>
    </row>
    <row r="8" spans="1:10" ht="55.5" customHeight="1" x14ac:dyDescent="0.2">
      <c r="A8" s="11" t="s">
        <v>10</v>
      </c>
      <c r="B8" s="11" t="s">
        <v>28</v>
      </c>
      <c r="C8" s="11" t="s">
        <v>29</v>
      </c>
      <c r="D8" s="26"/>
      <c r="E8" s="27"/>
      <c r="F8" s="27"/>
      <c r="G8" s="27"/>
      <c r="H8" s="27"/>
      <c r="I8" s="27"/>
      <c r="J8" s="27"/>
    </row>
    <row r="9" spans="1:10" ht="55.5" customHeight="1" x14ac:dyDescent="0.2">
      <c r="A9" s="15" t="s">
        <v>10</v>
      </c>
      <c r="B9" s="15" t="s">
        <v>30</v>
      </c>
      <c r="C9" s="15" t="s">
        <v>31</v>
      </c>
      <c r="D9" s="28"/>
      <c r="E9" s="29"/>
      <c r="F9" s="29"/>
      <c r="G9" s="29"/>
      <c r="H9" s="29"/>
      <c r="I9" s="29"/>
      <c r="J9" s="29"/>
    </row>
    <row r="10" spans="1:10" ht="55.5" customHeight="1" x14ac:dyDescent="0.2">
      <c r="A10" s="11" t="s">
        <v>10</v>
      </c>
      <c r="B10" s="11" t="s">
        <v>32</v>
      </c>
      <c r="C10" s="11" t="s">
        <v>33</v>
      </c>
      <c r="D10" s="26"/>
      <c r="E10" s="27"/>
      <c r="F10" s="27"/>
      <c r="G10" s="27"/>
      <c r="H10" s="27"/>
      <c r="I10" s="27"/>
      <c r="J10" s="27"/>
    </row>
    <row r="11" spans="1:10" ht="55.5" customHeight="1" x14ac:dyDescent="0.2">
      <c r="A11" s="15" t="s">
        <v>10</v>
      </c>
      <c r="B11" s="15" t="s">
        <v>34</v>
      </c>
      <c r="C11" s="15" t="s">
        <v>35</v>
      </c>
      <c r="D11" s="28"/>
      <c r="E11" s="29"/>
      <c r="F11" s="29"/>
      <c r="G11" s="29"/>
      <c r="H11" s="29"/>
      <c r="I11" s="29"/>
      <c r="J11" s="29"/>
    </row>
    <row r="12" spans="1:10" ht="25" customHeight="1" x14ac:dyDescent="0.2">
      <c r="A12" s="37" t="s">
        <v>12</v>
      </c>
      <c r="B12" s="38"/>
      <c r="C12" s="38"/>
      <c r="D12" s="38"/>
      <c r="E12" s="38"/>
      <c r="F12" s="38"/>
      <c r="G12" s="38"/>
      <c r="H12" s="38"/>
      <c r="I12" s="38"/>
      <c r="J12" s="38"/>
    </row>
    <row r="13" spans="1:10" ht="35" customHeight="1" x14ac:dyDescent="0.2">
      <c r="A13" s="11" t="s">
        <v>12</v>
      </c>
      <c r="B13" s="11" t="s">
        <v>36</v>
      </c>
      <c r="C13" s="11" t="s">
        <v>37</v>
      </c>
      <c r="D13" s="26"/>
      <c r="E13" s="27"/>
      <c r="F13" s="27"/>
      <c r="G13" s="27"/>
      <c r="H13" s="27"/>
      <c r="I13" s="27"/>
      <c r="J13" s="27"/>
    </row>
    <row r="14" spans="1:10" ht="35" customHeight="1" x14ac:dyDescent="0.2">
      <c r="A14" s="15" t="s">
        <v>12</v>
      </c>
      <c r="B14" s="15" t="s">
        <v>38</v>
      </c>
      <c r="C14" s="15" t="s">
        <v>39</v>
      </c>
      <c r="D14" s="28"/>
      <c r="E14" s="29"/>
      <c r="F14" s="29"/>
      <c r="G14" s="29"/>
      <c r="H14" s="29"/>
      <c r="I14" s="29"/>
      <c r="J14" s="29"/>
    </row>
    <row r="15" spans="1:10" ht="35" customHeight="1" x14ac:dyDescent="0.2">
      <c r="A15" s="11" t="s">
        <v>12</v>
      </c>
      <c r="B15" s="11" t="s">
        <v>40</v>
      </c>
      <c r="C15" s="11" t="s">
        <v>41</v>
      </c>
      <c r="D15" s="26"/>
      <c r="E15" s="27"/>
      <c r="F15" s="27"/>
      <c r="G15" s="27"/>
      <c r="H15" s="27"/>
      <c r="I15" s="27"/>
      <c r="J15" s="27"/>
    </row>
    <row r="16" spans="1:10" ht="35" customHeight="1" x14ac:dyDescent="0.2">
      <c r="A16" s="15" t="s">
        <v>12</v>
      </c>
      <c r="B16" s="15" t="s">
        <v>42</v>
      </c>
      <c r="C16" s="15" t="s">
        <v>43</v>
      </c>
      <c r="D16" s="28"/>
      <c r="E16" s="29"/>
      <c r="F16" s="29"/>
      <c r="G16" s="29"/>
      <c r="H16" s="29"/>
      <c r="I16" s="29"/>
      <c r="J16" s="29"/>
    </row>
    <row r="17" spans="1:10" ht="35" customHeight="1" x14ac:dyDescent="0.2">
      <c r="A17" s="11" t="s">
        <v>12</v>
      </c>
      <c r="B17" s="11" t="s">
        <v>44</v>
      </c>
      <c r="C17" s="11" t="s">
        <v>45</v>
      </c>
      <c r="D17" s="26"/>
      <c r="E17" s="27"/>
      <c r="F17" s="27"/>
      <c r="G17" s="27"/>
      <c r="H17" s="27"/>
      <c r="I17" s="27"/>
      <c r="J17" s="27"/>
    </row>
    <row r="18" spans="1:10" ht="35" customHeight="1" x14ac:dyDescent="0.2">
      <c r="A18" s="15" t="s">
        <v>12</v>
      </c>
      <c r="B18" s="15" t="s">
        <v>46</v>
      </c>
      <c r="C18" s="15" t="s">
        <v>47</v>
      </c>
      <c r="D18" s="28"/>
      <c r="E18" s="29"/>
      <c r="F18" s="29"/>
      <c r="G18" s="29"/>
      <c r="H18" s="29"/>
      <c r="I18" s="29"/>
      <c r="J18" s="29"/>
    </row>
    <row r="19" spans="1:10" ht="25" customHeight="1" x14ac:dyDescent="0.2">
      <c r="A19" s="37" t="s">
        <v>14</v>
      </c>
      <c r="B19" s="38"/>
      <c r="C19" s="38"/>
      <c r="D19" s="38"/>
      <c r="E19" s="38"/>
      <c r="F19" s="38"/>
      <c r="G19" s="38"/>
      <c r="H19" s="38"/>
      <c r="I19" s="38"/>
      <c r="J19" s="38"/>
    </row>
    <row r="20" spans="1:10" ht="35" customHeight="1" x14ac:dyDescent="0.2">
      <c r="A20" s="11" t="s">
        <v>14</v>
      </c>
      <c r="B20" s="11" t="s">
        <v>48</v>
      </c>
      <c r="C20" s="11" t="s">
        <v>49</v>
      </c>
      <c r="D20" s="26"/>
      <c r="E20" s="27"/>
      <c r="F20" s="27"/>
      <c r="G20" s="27"/>
      <c r="H20" s="27"/>
      <c r="I20" s="27"/>
      <c r="J20" s="27"/>
    </row>
    <row r="21" spans="1:10" ht="35" customHeight="1" x14ac:dyDescent="0.2">
      <c r="A21" s="15" t="s">
        <v>14</v>
      </c>
      <c r="B21" s="15" t="s">
        <v>50</v>
      </c>
      <c r="C21" s="15" t="s">
        <v>51</v>
      </c>
      <c r="D21" s="28"/>
      <c r="E21" s="29"/>
      <c r="F21" s="29"/>
      <c r="G21" s="29"/>
      <c r="H21" s="29"/>
      <c r="I21" s="29"/>
      <c r="J21" s="29"/>
    </row>
    <row r="22" spans="1:10" ht="35" customHeight="1" x14ac:dyDescent="0.2">
      <c r="A22" s="11" t="s">
        <v>14</v>
      </c>
      <c r="B22" s="11" t="s">
        <v>52</v>
      </c>
      <c r="C22" s="11" t="s">
        <v>53</v>
      </c>
      <c r="D22" s="26"/>
      <c r="E22" s="27"/>
      <c r="F22" s="27"/>
      <c r="G22" s="27"/>
      <c r="H22" s="27"/>
      <c r="I22" s="27"/>
      <c r="J22" s="27"/>
    </row>
    <row r="23" spans="1:10" ht="35" customHeight="1" x14ac:dyDescent="0.2">
      <c r="A23" s="15" t="s">
        <v>14</v>
      </c>
      <c r="B23" s="15" t="s">
        <v>54</v>
      </c>
      <c r="C23" s="15" t="s">
        <v>55</v>
      </c>
      <c r="D23" s="28"/>
      <c r="E23" s="29"/>
      <c r="F23" s="29"/>
      <c r="G23" s="29"/>
      <c r="H23" s="29"/>
      <c r="I23" s="29"/>
      <c r="J23" s="29"/>
    </row>
    <row r="24" spans="1:10" ht="35" customHeight="1" x14ac:dyDescent="0.2">
      <c r="A24" s="11" t="s">
        <v>14</v>
      </c>
      <c r="B24" s="11" t="s">
        <v>56</v>
      </c>
      <c r="C24" s="11" t="s">
        <v>57</v>
      </c>
      <c r="D24" s="26"/>
      <c r="E24" s="27"/>
      <c r="F24" s="27"/>
      <c r="G24" s="27"/>
      <c r="H24" s="27"/>
      <c r="I24" s="27"/>
      <c r="J24" s="27"/>
    </row>
    <row r="25" spans="1:10" ht="35" customHeight="1" x14ac:dyDescent="0.2">
      <c r="A25" s="15" t="s">
        <v>14</v>
      </c>
      <c r="B25" s="15" t="s">
        <v>58</v>
      </c>
      <c r="C25" s="15" t="s">
        <v>59</v>
      </c>
      <c r="D25" s="28"/>
      <c r="E25" s="29"/>
      <c r="F25" s="29"/>
      <c r="G25" s="29"/>
      <c r="H25" s="29"/>
      <c r="I25" s="29"/>
      <c r="J25" s="29"/>
    </row>
    <row r="26" spans="1:10" ht="25" customHeight="1" x14ac:dyDescent="0.2">
      <c r="A26" s="37" t="s">
        <v>16</v>
      </c>
      <c r="B26" s="38"/>
      <c r="C26" s="38"/>
      <c r="D26" s="38"/>
      <c r="E26" s="38"/>
      <c r="F26" s="38"/>
      <c r="G26" s="38"/>
      <c r="H26" s="38"/>
      <c r="I26" s="38"/>
      <c r="J26" s="38"/>
    </row>
    <row r="27" spans="1:10" ht="35" customHeight="1" x14ac:dyDescent="0.2">
      <c r="A27" s="11" t="s">
        <v>16</v>
      </c>
      <c r="B27" s="11" t="s">
        <v>60</v>
      </c>
      <c r="C27" s="11" t="s">
        <v>61</v>
      </c>
      <c r="D27" s="26"/>
      <c r="E27" s="27"/>
      <c r="F27" s="27"/>
      <c r="G27" s="27"/>
      <c r="H27" s="27"/>
      <c r="I27" s="27"/>
      <c r="J27" s="27"/>
    </row>
    <row r="28" spans="1:10" ht="35" customHeight="1" x14ac:dyDescent="0.2">
      <c r="A28" s="15" t="s">
        <v>16</v>
      </c>
      <c r="B28" s="15" t="s">
        <v>62</v>
      </c>
      <c r="C28" s="15" t="s">
        <v>63</v>
      </c>
      <c r="D28" s="28"/>
      <c r="E28" s="29"/>
      <c r="F28" s="29"/>
      <c r="G28" s="29"/>
      <c r="H28" s="29"/>
      <c r="I28" s="29"/>
      <c r="J28" s="29"/>
    </row>
    <row r="29" spans="1:10" ht="35" customHeight="1" x14ac:dyDescent="0.2">
      <c r="A29" s="11" t="s">
        <v>16</v>
      </c>
      <c r="B29" s="11" t="s">
        <v>64</v>
      </c>
      <c r="C29" s="11" t="s">
        <v>65</v>
      </c>
      <c r="D29" s="26"/>
      <c r="E29" s="27"/>
      <c r="F29" s="27"/>
      <c r="G29" s="27"/>
      <c r="H29" s="27"/>
      <c r="I29" s="27"/>
      <c r="J29" s="27"/>
    </row>
    <row r="30" spans="1:10" ht="35" customHeight="1" x14ac:dyDescent="0.2">
      <c r="A30" s="15" t="s">
        <v>16</v>
      </c>
      <c r="B30" s="15" t="s">
        <v>66</v>
      </c>
      <c r="C30" s="15" t="s">
        <v>67</v>
      </c>
      <c r="D30" s="28"/>
      <c r="E30" s="29"/>
      <c r="F30" s="29"/>
      <c r="G30" s="29"/>
      <c r="H30" s="29"/>
      <c r="I30" s="29"/>
      <c r="J30" s="29"/>
    </row>
    <row r="31" spans="1:10" ht="35" customHeight="1" x14ac:dyDescent="0.2">
      <c r="A31" s="11" t="s">
        <v>16</v>
      </c>
      <c r="B31" s="11" t="s">
        <v>68</v>
      </c>
      <c r="C31" s="11" t="s">
        <v>69</v>
      </c>
      <c r="D31" s="26"/>
      <c r="E31" s="27"/>
      <c r="F31" s="27"/>
      <c r="G31" s="27"/>
      <c r="H31" s="27"/>
      <c r="I31" s="27"/>
      <c r="J31" s="27"/>
    </row>
    <row r="32" spans="1:10" ht="35" customHeight="1" x14ac:dyDescent="0.2">
      <c r="A32" s="15" t="s">
        <v>16</v>
      </c>
      <c r="B32" s="15" t="s">
        <v>70</v>
      </c>
      <c r="C32" s="15" t="s">
        <v>71</v>
      </c>
      <c r="D32" s="28"/>
      <c r="E32" s="29"/>
      <c r="F32" s="29"/>
      <c r="G32" s="29"/>
      <c r="H32" s="29"/>
      <c r="I32" s="29"/>
      <c r="J32" s="29"/>
    </row>
    <row r="33" spans="1:10" ht="25" customHeight="1" x14ac:dyDescent="0.2">
      <c r="A33" s="37" t="s">
        <v>18</v>
      </c>
      <c r="B33" s="38"/>
      <c r="C33" s="38"/>
      <c r="D33" s="38"/>
      <c r="E33" s="38"/>
      <c r="F33" s="38"/>
      <c r="G33" s="38"/>
      <c r="H33" s="38"/>
      <c r="I33" s="38"/>
      <c r="J33" s="38"/>
    </row>
    <row r="34" spans="1:10" ht="35" customHeight="1" x14ac:dyDescent="0.2">
      <c r="A34" s="11" t="s">
        <v>18</v>
      </c>
      <c r="B34" s="11" t="s">
        <v>72</v>
      </c>
      <c r="C34" s="11" t="s">
        <v>73</v>
      </c>
      <c r="D34" s="26"/>
      <c r="E34" s="27"/>
      <c r="F34" s="27"/>
      <c r="G34" s="27"/>
      <c r="H34" s="27"/>
      <c r="I34" s="27"/>
      <c r="J34" s="27"/>
    </row>
    <row r="35" spans="1:10" ht="35" customHeight="1" x14ac:dyDescent="0.2">
      <c r="A35" s="15" t="s">
        <v>18</v>
      </c>
      <c r="B35" s="15" t="s">
        <v>74</v>
      </c>
      <c r="C35" s="15" t="s">
        <v>75</v>
      </c>
      <c r="D35" s="28"/>
      <c r="E35" s="29"/>
      <c r="F35" s="29"/>
      <c r="G35" s="29"/>
      <c r="H35" s="29"/>
      <c r="I35" s="29"/>
      <c r="J35" s="29"/>
    </row>
    <row r="36" spans="1:10" ht="35" customHeight="1" x14ac:dyDescent="0.2">
      <c r="A36" s="11" t="s">
        <v>18</v>
      </c>
      <c r="B36" s="11" t="s">
        <v>76</v>
      </c>
      <c r="C36" s="11" t="s">
        <v>77</v>
      </c>
      <c r="D36" s="26"/>
      <c r="E36" s="27"/>
      <c r="F36" s="27"/>
      <c r="G36" s="27"/>
      <c r="H36" s="27"/>
      <c r="I36" s="27"/>
      <c r="J36" s="27"/>
    </row>
    <row r="37" spans="1:10" ht="35" customHeight="1" x14ac:dyDescent="0.2">
      <c r="A37" s="15" t="s">
        <v>18</v>
      </c>
      <c r="B37" s="15" t="s">
        <v>78</v>
      </c>
      <c r="C37" s="15" t="s">
        <v>79</v>
      </c>
      <c r="D37" s="28"/>
      <c r="E37" s="29"/>
      <c r="F37" s="29"/>
      <c r="G37" s="29"/>
      <c r="H37" s="29"/>
      <c r="I37" s="29"/>
      <c r="J37" s="29"/>
    </row>
    <row r="38" spans="1:10" ht="35" customHeight="1" x14ac:dyDescent="0.2">
      <c r="A38" s="11" t="s">
        <v>18</v>
      </c>
      <c r="B38" s="11" t="s">
        <v>80</v>
      </c>
      <c r="C38" s="11" t="s">
        <v>81</v>
      </c>
      <c r="D38" s="26"/>
      <c r="E38" s="27"/>
      <c r="F38" s="27"/>
      <c r="G38" s="27"/>
      <c r="H38" s="27"/>
      <c r="I38" s="27"/>
      <c r="J38" s="27"/>
    </row>
    <row r="39" spans="1:10" ht="35" customHeight="1" x14ac:dyDescent="0.2">
      <c r="A39" s="15" t="s">
        <v>18</v>
      </c>
      <c r="B39" s="15" t="s">
        <v>82</v>
      </c>
      <c r="C39" s="15" t="s">
        <v>83</v>
      </c>
      <c r="D39" s="28"/>
      <c r="E39" s="29"/>
      <c r="F39" s="29"/>
      <c r="G39" s="29"/>
      <c r="H39" s="29"/>
      <c r="I39" s="29"/>
      <c r="J39" s="29"/>
    </row>
    <row r="41" spans="1:10" x14ac:dyDescent="0.2">
      <c r="A41" s="35" t="s">
        <v>107</v>
      </c>
      <c r="B41" s="36"/>
      <c r="C41" s="36"/>
      <c r="D41" s="36"/>
      <c r="E41" s="36"/>
      <c r="F41" s="36"/>
      <c r="G41" s="36"/>
      <c r="H41" s="36"/>
      <c r="I41" s="36"/>
      <c r="J41" s="36"/>
    </row>
    <row r="42" spans="1:10" ht="16" x14ac:dyDescent="0.2">
      <c r="A42" s="33" t="s">
        <v>10</v>
      </c>
      <c r="B42" s="34"/>
      <c r="C42" s="34"/>
      <c r="D42" s="31">
        <f>IFERROR(AVERAGE(D6,D7,D8,D9,D10,D11),"")</f>
        <v>3</v>
      </c>
      <c r="E42" s="30"/>
      <c r="F42" s="30"/>
      <c r="G42" s="30"/>
      <c r="H42" s="30"/>
      <c r="I42" s="30"/>
      <c r="J42" s="30"/>
    </row>
    <row r="43" spans="1:10" ht="17" x14ac:dyDescent="0.2">
      <c r="A43" s="33" t="s">
        <v>12</v>
      </c>
      <c r="B43" s="34"/>
      <c r="C43" s="34"/>
      <c r="D43" s="31" t="str">
        <f>IFERROR(AVERAGE(D13,D14,D15,D16,D17,D18),"")</f>
        <v/>
      </c>
      <c r="E43" s="30"/>
      <c r="F43" s="30"/>
      <c r="G43" s="30"/>
      <c r="H43" s="30"/>
      <c r="I43" s="30"/>
      <c r="J43" s="30"/>
    </row>
    <row r="44" spans="1:10" ht="17" x14ac:dyDescent="0.2">
      <c r="A44" s="33" t="s">
        <v>14</v>
      </c>
      <c r="B44" s="34"/>
      <c r="C44" s="34"/>
      <c r="D44" s="31" t="str">
        <f>IFERROR(AVERAGE(D20,D21,D22,D23,D24,D25),"")</f>
        <v/>
      </c>
      <c r="E44" s="30"/>
      <c r="F44" s="30"/>
      <c r="G44" s="30"/>
      <c r="H44" s="30"/>
      <c r="I44" s="30"/>
      <c r="J44" s="30"/>
    </row>
    <row r="45" spans="1:10" ht="17" x14ac:dyDescent="0.2">
      <c r="A45" s="33" t="s">
        <v>16</v>
      </c>
      <c r="B45" s="34"/>
      <c r="C45" s="34"/>
      <c r="D45" s="31" t="str">
        <f>IFERROR(AVERAGE(D27,D28,D29,D30,D31,D32),"")</f>
        <v/>
      </c>
      <c r="E45" s="30"/>
      <c r="F45" s="30"/>
      <c r="G45" s="30"/>
      <c r="H45" s="30"/>
      <c r="I45" s="30"/>
      <c r="J45" s="30"/>
    </row>
    <row r="46" spans="1:10" ht="17" x14ac:dyDescent="0.2">
      <c r="A46" s="33" t="s">
        <v>18</v>
      </c>
      <c r="B46" s="34"/>
      <c r="C46" s="34"/>
      <c r="D46" s="31" t="str">
        <f>IFERROR(AVERAGE(D34,D35,D36,D37,D38,D39),"")</f>
        <v/>
      </c>
      <c r="E46" s="30"/>
      <c r="F46" s="30"/>
      <c r="G46" s="30"/>
      <c r="H46" s="30"/>
      <c r="I46" s="30"/>
      <c r="J46" s="30"/>
    </row>
  </sheetData>
  <mergeCells count="13">
    <mergeCell ref="A1:J1"/>
    <mergeCell ref="A42:C42"/>
    <mergeCell ref="A33:J33"/>
    <mergeCell ref="A45:C45"/>
    <mergeCell ref="A2:J2"/>
    <mergeCell ref="A46:C46"/>
    <mergeCell ref="A44:C44"/>
    <mergeCell ref="A41:J41"/>
    <mergeCell ref="A19:J19"/>
    <mergeCell ref="A5:J5"/>
    <mergeCell ref="A26:J26"/>
    <mergeCell ref="A12:J12"/>
    <mergeCell ref="A43:C43"/>
  </mergeCells>
  <conditionalFormatting sqref="D6:D39">
    <cfRule type="colorScale" priority="1">
      <colorScale>
        <cfvo type="num" val="1"/>
        <cfvo type="num" val="3"/>
        <cfvo type="num" val="5"/>
        <color rgb="FFFF6B6B"/>
        <color rgb="FFFFD93D"/>
        <color rgb="FF4CAF50"/>
      </colorScale>
    </cfRule>
  </conditionalFormatting>
  <dataValidations count="1">
    <dataValidation type="list" allowBlank="1" errorTitle="Invalid Score" error="Please enter a score from 1 to 5" promptTitle="Maturity Score" prompt="Select maturity level (1-5)" sqref="D6:D39" xr:uid="{00000000-0002-0000-0100-000000000000}">
      <formula1>"1,2,3,4,5"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6"/>
  <sheetViews>
    <sheetView workbookViewId="0">
      <pane ySplit="4" topLeftCell="A5" activePane="bottomLeft" state="frozen"/>
      <selection pane="bottomLeft" activeCell="E7" sqref="E7"/>
    </sheetView>
  </sheetViews>
  <sheetFormatPr baseColWidth="10" defaultColWidth="8.83203125" defaultRowHeight="15" x14ac:dyDescent="0.2"/>
  <cols>
    <col min="1" max="1" width="30" customWidth="1"/>
    <col min="2" max="2" width="6" customWidth="1"/>
    <col min="3" max="3" width="35" customWidth="1"/>
    <col min="4" max="4" width="10" customWidth="1"/>
    <col min="5" max="7" width="40.33203125" customWidth="1"/>
    <col min="8" max="8" width="30" customWidth="1"/>
    <col min="9" max="9" width="18" customWidth="1"/>
    <col min="10" max="10" width="14" customWidth="1"/>
  </cols>
  <sheetData>
    <row r="1" spans="1:10" ht="35" customHeight="1" x14ac:dyDescent="0.2">
      <c r="A1" s="39" t="s">
        <v>108</v>
      </c>
      <c r="B1" s="40"/>
      <c r="C1" s="40"/>
      <c r="D1" s="40"/>
      <c r="E1" s="40"/>
      <c r="F1" s="40"/>
      <c r="G1" s="40"/>
      <c r="H1" s="40"/>
      <c r="I1" s="40"/>
      <c r="J1" s="40"/>
    </row>
    <row r="2" spans="1:10" x14ac:dyDescent="0.2">
      <c r="A2" s="41" t="s">
        <v>99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x14ac:dyDescent="0.2">
      <c r="A3" s="32" t="s">
        <v>100</v>
      </c>
    </row>
    <row r="4" spans="1:10" ht="30" customHeight="1" x14ac:dyDescent="0.2">
      <c r="A4" s="2" t="s">
        <v>3</v>
      </c>
      <c r="B4" s="2" t="s">
        <v>21</v>
      </c>
      <c r="C4" s="2" t="s">
        <v>22</v>
      </c>
      <c r="D4" s="2" t="s">
        <v>101</v>
      </c>
      <c r="E4" s="2" t="s">
        <v>102</v>
      </c>
      <c r="F4" s="2" t="s">
        <v>103</v>
      </c>
      <c r="G4" s="2" t="s">
        <v>104</v>
      </c>
      <c r="H4" s="2" t="s">
        <v>105</v>
      </c>
      <c r="I4" s="2" t="s">
        <v>90</v>
      </c>
      <c r="J4" s="2" t="s">
        <v>91</v>
      </c>
    </row>
    <row r="5" spans="1:10" ht="25" customHeight="1" x14ac:dyDescent="0.2">
      <c r="A5" s="37" t="s">
        <v>10</v>
      </c>
      <c r="B5" s="38"/>
      <c r="C5" s="38"/>
      <c r="D5" s="38"/>
      <c r="E5" s="38"/>
      <c r="F5" s="38"/>
      <c r="G5" s="38"/>
      <c r="H5" s="38"/>
      <c r="I5" s="38"/>
      <c r="J5" s="38"/>
    </row>
    <row r="6" spans="1:10" ht="75" customHeight="1" x14ac:dyDescent="0.2">
      <c r="A6" s="11" t="s">
        <v>10</v>
      </c>
      <c r="B6" s="11" t="s">
        <v>24</v>
      </c>
      <c r="C6" s="11" t="s">
        <v>25</v>
      </c>
      <c r="D6" s="26">
        <v>2</v>
      </c>
      <c r="E6" s="27" t="s">
        <v>109</v>
      </c>
      <c r="F6" s="27" t="s">
        <v>110</v>
      </c>
      <c r="G6" s="27" t="s">
        <v>111</v>
      </c>
      <c r="H6" s="27"/>
      <c r="I6" s="27"/>
      <c r="J6" s="27"/>
    </row>
    <row r="7" spans="1:10" ht="75" customHeight="1" x14ac:dyDescent="0.2">
      <c r="A7" s="15" t="s">
        <v>10</v>
      </c>
      <c r="B7" s="15" t="s">
        <v>26</v>
      </c>
      <c r="C7" s="15" t="s">
        <v>27</v>
      </c>
      <c r="D7" s="28">
        <v>3</v>
      </c>
      <c r="E7" s="29" t="s">
        <v>112</v>
      </c>
      <c r="F7" s="29"/>
      <c r="G7" s="29"/>
      <c r="H7" s="29"/>
      <c r="I7" s="29"/>
      <c r="J7" s="29"/>
    </row>
    <row r="8" spans="1:10" ht="75" customHeight="1" x14ac:dyDescent="0.2">
      <c r="A8" s="11" t="s">
        <v>10</v>
      </c>
      <c r="B8" s="11" t="s">
        <v>28</v>
      </c>
      <c r="C8" s="11" t="s">
        <v>29</v>
      </c>
      <c r="D8" s="26"/>
      <c r="E8" s="27"/>
      <c r="F8" s="27"/>
      <c r="G8" s="27"/>
      <c r="H8" s="27"/>
      <c r="I8" s="27"/>
      <c r="J8" s="27"/>
    </row>
    <row r="9" spans="1:10" ht="75" customHeight="1" x14ac:dyDescent="0.2">
      <c r="A9" s="15" t="s">
        <v>10</v>
      </c>
      <c r="B9" s="15" t="s">
        <v>30</v>
      </c>
      <c r="C9" s="15" t="s">
        <v>31</v>
      </c>
      <c r="D9" s="28"/>
      <c r="E9" s="29"/>
      <c r="F9" s="29"/>
      <c r="G9" s="29"/>
      <c r="H9" s="29"/>
      <c r="I9" s="29"/>
      <c r="J9" s="29"/>
    </row>
    <row r="10" spans="1:10" ht="75" customHeight="1" x14ac:dyDescent="0.2">
      <c r="A10" s="11" t="s">
        <v>10</v>
      </c>
      <c r="B10" s="11" t="s">
        <v>32</v>
      </c>
      <c r="C10" s="11" t="s">
        <v>33</v>
      </c>
      <c r="D10" s="26"/>
      <c r="E10" s="27"/>
      <c r="F10" s="27"/>
      <c r="G10" s="27"/>
      <c r="H10" s="27"/>
      <c r="I10" s="27"/>
      <c r="J10" s="27"/>
    </row>
    <row r="11" spans="1:10" ht="75" customHeight="1" x14ac:dyDescent="0.2">
      <c r="A11" s="15" t="s">
        <v>10</v>
      </c>
      <c r="B11" s="15" t="s">
        <v>34</v>
      </c>
      <c r="C11" s="15" t="s">
        <v>35</v>
      </c>
      <c r="D11" s="28"/>
      <c r="E11" s="29"/>
      <c r="F11" s="29"/>
      <c r="G11" s="29"/>
      <c r="H11" s="29"/>
      <c r="I11" s="29"/>
      <c r="J11" s="29"/>
    </row>
    <row r="12" spans="1:10" ht="25" customHeight="1" x14ac:dyDescent="0.2">
      <c r="A12" s="37" t="s">
        <v>12</v>
      </c>
      <c r="B12" s="38"/>
      <c r="C12" s="38"/>
      <c r="D12" s="38"/>
      <c r="E12" s="38"/>
      <c r="F12" s="38"/>
      <c r="G12" s="38"/>
      <c r="H12" s="38"/>
      <c r="I12" s="38"/>
      <c r="J12" s="38"/>
    </row>
    <row r="13" spans="1:10" ht="35" customHeight="1" x14ac:dyDescent="0.2">
      <c r="A13" s="11" t="s">
        <v>12</v>
      </c>
      <c r="B13" s="11" t="s">
        <v>36</v>
      </c>
      <c r="C13" s="11" t="s">
        <v>37</v>
      </c>
      <c r="D13" s="26"/>
      <c r="E13" s="27"/>
      <c r="F13" s="27"/>
      <c r="G13" s="27"/>
      <c r="H13" s="27"/>
      <c r="I13" s="27"/>
      <c r="J13" s="27"/>
    </row>
    <row r="14" spans="1:10" ht="35" customHeight="1" x14ac:dyDescent="0.2">
      <c r="A14" s="15" t="s">
        <v>12</v>
      </c>
      <c r="B14" s="15" t="s">
        <v>38</v>
      </c>
      <c r="C14" s="15" t="s">
        <v>39</v>
      </c>
      <c r="D14" s="28"/>
      <c r="E14" s="29"/>
      <c r="F14" s="29"/>
      <c r="G14" s="29"/>
      <c r="H14" s="29"/>
      <c r="I14" s="29"/>
      <c r="J14" s="29"/>
    </row>
    <row r="15" spans="1:10" ht="35" customHeight="1" x14ac:dyDescent="0.2">
      <c r="A15" s="11" t="s">
        <v>12</v>
      </c>
      <c r="B15" s="11" t="s">
        <v>40</v>
      </c>
      <c r="C15" s="11" t="s">
        <v>41</v>
      </c>
      <c r="D15" s="26"/>
      <c r="E15" s="27"/>
      <c r="F15" s="27"/>
      <c r="G15" s="27"/>
      <c r="H15" s="27"/>
      <c r="I15" s="27"/>
      <c r="J15" s="27"/>
    </row>
    <row r="16" spans="1:10" ht="35" customHeight="1" x14ac:dyDescent="0.2">
      <c r="A16" s="15" t="s">
        <v>12</v>
      </c>
      <c r="B16" s="15" t="s">
        <v>42</v>
      </c>
      <c r="C16" s="15" t="s">
        <v>43</v>
      </c>
      <c r="D16" s="28"/>
      <c r="E16" s="29"/>
      <c r="F16" s="29"/>
      <c r="G16" s="29"/>
      <c r="H16" s="29"/>
      <c r="I16" s="29"/>
      <c r="J16" s="29"/>
    </row>
    <row r="17" spans="1:10" ht="35" customHeight="1" x14ac:dyDescent="0.2">
      <c r="A17" s="11" t="s">
        <v>12</v>
      </c>
      <c r="B17" s="11" t="s">
        <v>44</v>
      </c>
      <c r="C17" s="11" t="s">
        <v>45</v>
      </c>
      <c r="D17" s="26"/>
      <c r="E17" s="27"/>
      <c r="F17" s="27"/>
      <c r="G17" s="27"/>
      <c r="H17" s="27"/>
      <c r="I17" s="27"/>
      <c r="J17" s="27"/>
    </row>
    <row r="18" spans="1:10" ht="35" customHeight="1" x14ac:dyDescent="0.2">
      <c r="A18" s="15" t="s">
        <v>12</v>
      </c>
      <c r="B18" s="15" t="s">
        <v>46</v>
      </c>
      <c r="C18" s="15" t="s">
        <v>47</v>
      </c>
      <c r="D18" s="28"/>
      <c r="E18" s="29"/>
      <c r="F18" s="29"/>
      <c r="G18" s="29"/>
      <c r="H18" s="29"/>
      <c r="I18" s="29"/>
      <c r="J18" s="29"/>
    </row>
    <row r="19" spans="1:10" ht="25" customHeight="1" x14ac:dyDescent="0.2">
      <c r="A19" s="37" t="s">
        <v>14</v>
      </c>
      <c r="B19" s="38"/>
      <c r="C19" s="38"/>
      <c r="D19" s="38"/>
      <c r="E19" s="38"/>
      <c r="F19" s="38"/>
      <c r="G19" s="38"/>
      <c r="H19" s="38"/>
      <c r="I19" s="38"/>
      <c r="J19" s="38"/>
    </row>
    <row r="20" spans="1:10" ht="35" customHeight="1" x14ac:dyDescent="0.2">
      <c r="A20" s="11" t="s">
        <v>14</v>
      </c>
      <c r="B20" s="11" t="s">
        <v>48</v>
      </c>
      <c r="C20" s="11" t="s">
        <v>49</v>
      </c>
      <c r="D20" s="26"/>
      <c r="E20" s="27"/>
      <c r="F20" s="27"/>
      <c r="G20" s="27"/>
      <c r="H20" s="27"/>
      <c r="I20" s="27"/>
      <c r="J20" s="27"/>
    </row>
    <row r="21" spans="1:10" ht="35" customHeight="1" x14ac:dyDescent="0.2">
      <c r="A21" s="15" t="s">
        <v>14</v>
      </c>
      <c r="B21" s="15" t="s">
        <v>50</v>
      </c>
      <c r="C21" s="15" t="s">
        <v>51</v>
      </c>
      <c r="D21" s="28"/>
      <c r="E21" s="29"/>
      <c r="F21" s="29"/>
      <c r="G21" s="29"/>
      <c r="H21" s="29"/>
      <c r="I21" s="29"/>
      <c r="J21" s="29"/>
    </row>
    <row r="22" spans="1:10" ht="35" customHeight="1" x14ac:dyDescent="0.2">
      <c r="A22" s="11" t="s">
        <v>14</v>
      </c>
      <c r="B22" s="11" t="s">
        <v>52</v>
      </c>
      <c r="C22" s="11" t="s">
        <v>53</v>
      </c>
      <c r="D22" s="26"/>
      <c r="E22" s="27"/>
      <c r="F22" s="27"/>
      <c r="G22" s="27"/>
      <c r="H22" s="27"/>
      <c r="I22" s="27"/>
      <c r="J22" s="27"/>
    </row>
    <row r="23" spans="1:10" ht="35" customHeight="1" x14ac:dyDescent="0.2">
      <c r="A23" s="15" t="s">
        <v>14</v>
      </c>
      <c r="B23" s="15" t="s">
        <v>54</v>
      </c>
      <c r="C23" s="15" t="s">
        <v>55</v>
      </c>
      <c r="D23" s="28"/>
      <c r="E23" s="29"/>
      <c r="F23" s="29"/>
      <c r="G23" s="29"/>
      <c r="H23" s="29"/>
      <c r="I23" s="29"/>
      <c r="J23" s="29"/>
    </row>
    <row r="24" spans="1:10" ht="35" customHeight="1" x14ac:dyDescent="0.2">
      <c r="A24" s="11" t="s">
        <v>14</v>
      </c>
      <c r="B24" s="11" t="s">
        <v>56</v>
      </c>
      <c r="C24" s="11" t="s">
        <v>57</v>
      </c>
      <c r="D24" s="26"/>
      <c r="E24" s="27"/>
      <c r="F24" s="27"/>
      <c r="G24" s="27"/>
      <c r="H24" s="27"/>
      <c r="I24" s="27"/>
      <c r="J24" s="27"/>
    </row>
    <row r="25" spans="1:10" ht="35" customHeight="1" x14ac:dyDescent="0.2">
      <c r="A25" s="15" t="s">
        <v>14</v>
      </c>
      <c r="B25" s="15" t="s">
        <v>58</v>
      </c>
      <c r="C25" s="15" t="s">
        <v>59</v>
      </c>
      <c r="D25" s="28"/>
      <c r="E25" s="29"/>
      <c r="F25" s="29"/>
      <c r="G25" s="29"/>
      <c r="H25" s="29"/>
      <c r="I25" s="29"/>
      <c r="J25" s="29"/>
    </row>
    <row r="26" spans="1:10" ht="25" customHeight="1" x14ac:dyDescent="0.2">
      <c r="A26" s="37" t="s">
        <v>16</v>
      </c>
      <c r="B26" s="38"/>
      <c r="C26" s="38"/>
      <c r="D26" s="38"/>
      <c r="E26" s="38"/>
      <c r="F26" s="38"/>
      <c r="G26" s="38"/>
      <c r="H26" s="38"/>
      <c r="I26" s="38"/>
      <c r="J26" s="38"/>
    </row>
    <row r="27" spans="1:10" ht="35" customHeight="1" x14ac:dyDescent="0.2">
      <c r="A27" s="11" t="s">
        <v>16</v>
      </c>
      <c r="B27" s="11" t="s">
        <v>60</v>
      </c>
      <c r="C27" s="11" t="s">
        <v>61</v>
      </c>
      <c r="D27" s="26"/>
      <c r="E27" s="27"/>
      <c r="F27" s="27"/>
      <c r="G27" s="27"/>
      <c r="H27" s="27"/>
      <c r="I27" s="27"/>
      <c r="J27" s="27"/>
    </row>
    <row r="28" spans="1:10" ht="35" customHeight="1" x14ac:dyDescent="0.2">
      <c r="A28" s="15" t="s">
        <v>16</v>
      </c>
      <c r="B28" s="15" t="s">
        <v>62</v>
      </c>
      <c r="C28" s="15" t="s">
        <v>63</v>
      </c>
      <c r="D28" s="28"/>
      <c r="E28" s="29"/>
      <c r="F28" s="29"/>
      <c r="G28" s="29"/>
      <c r="H28" s="29"/>
      <c r="I28" s="29"/>
      <c r="J28" s="29"/>
    </row>
    <row r="29" spans="1:10" ht="35" customHeight="1" x14ac:dyDescent="0.2">
      <c r="A29" s="11" t="s">
        <v>16</v>
      </c>
      <c r="B29" s="11" t="s">
        <v>64</v>
      </c>
      <c r="C29" s="11" t="s">
        <v>65</v>
      </c>
      <c r="D29" s="26"/>
      <c r="E29" s="27"/>
      <c r="F29" s="27"/>
      <c r="G29" s="27"/>
      <c r="H29" s="27"/>
      <c r="I29" s="27"/>
      <c r="J29" s="27"/>
    </row>
    <row r="30" spans="1:10" ht="35" customHeight="1" x14ac:dyDescent="0.2">
      <c r="A30" s="15" t="s">
        <v>16</v>
      </c>
      <c r="B30" s="15" t="s">
        <v>66</v>
      </c>
      <c r="C30" s="15" t="s">
        <v>67</v>
      </c>
      <c r="D30" s="28"/>
      <c r="E30" s="29"/>
      <c r="F30" s="29"/>
      <c r="G30" s="29"/>
      <c r="H30" s="29"/>
      <c r="I30" s="29"/>
      <c r="J30" s="29"/>
    </row>
    <row r="31" spans="1:10" ht="35" customHeight="1" x14ac:dyDescent="0.2">
      <c r="A31" s="11" t="s">
        <v>16</v>
      </c>
      <c r="B31" s="11" t="s">
        <v>68</v>
      </c>
      <c r="C31" s="11" t="s">
        <v>69</v>
      </c>
      <c r="D31" s="26"/>
      <c r="E31" s="27"/>
      <c r="F31" s="27"/>
      <c r="G31" s="27"/>
      <c r="H31" s="27"/>
      <c r="I31" s="27"/>
      <c r="J31" s="27"/>
    </row>
    <row r="32" spans="1:10" ht="35" customHeight="1" x14ac:dyDescent="0.2">
      <c r="A32" s="15" t="s">
        <v>16</v>
      </c>
      <c r="B32" s="15" t="s">
        <v>70</v>
      </c>
      <c r="C32" s="15" t="s">
        <v>71</v>
      </c>
      <c r="D32" s="28"/>
      <c r="E32" s="29"/>
      <c r="F32" s="29"/>
      <c r="G32" s="29"/>
      <c r="H32" s="29"/>
      <c r="I32" s="29"/>
      <c r="J32" s="29"/>
    </row>
    <row r="33" spans="1:10" ht="25" customHeight="1" x14ac:dyDescent="0.2">
      <c r="A33" s="37" t="s">
        <v>18</v>
      </c>
      <c r="B33" s="38"/>
      <c r="C33" s="38"/>
      <c r="D33" s="38"/>
      <c r="E33" s="38"/>
      <c r="F33" s="38"/>
      <c r="G33" s="38"/>
      <c r="H33" s="38"/>
      <c r="I33" s="38"/>
      <c r="J33" s="38"/>
    </row>
    <row r="34" spans="1:10" ht="35" customHeight="1" x14ac:dyDescent="0.2">
      <c r="A34" s="11" t="s">
        <v>18</v>
      </c>
      <c r="B34" s="11" t="s">
        <v>72</v>
      </c>
      <c r="C34" s="11" t="s">
        <v>73</v>
      </c>
      <c r="D34" s="26"/>
      <c r="E34" s="27"/>
      <c r="F34" s="27"/>
      <c r="G34" s="27"/>
      <c r="H34" s="27"/>
      <c r="I34" s="27"/>
      <c r="J34" s="27"/>
    </row>
    <row r="35" spans="1:10" ht="35" customHeight="1" x14ac:dyDescent="0.2">
      <c r="A35" s="15" t="s">
        <v>18</v>
      </c>
      <c r="B35" s="15" t="s">
        <v>74</v>
      </c>
      <c r="C35" s="15" t="s">
        <v>75</v>
      </c>
      <c r="D35" s="28"/>
      <c r="E35" s="29"/>
      <c r="F35" s="29"/>
      <c r="G35" s="29"/>
      <c r="H35" s="29"/>
      <c r="I35" s="29"/>
      <c r="J35" s="29"/>
    </row>
    <row r="36" spans="1:10" ht="35" customHeight="1" x14ac:dyDescent="0.2">
      <c r="A36" s="11" t="s">
        <v>18</v>
      </c>
      <c r="B36" s="11" t="s">
        <v>76</v>
      </c>
      <c r="C36" s="11" t="s">
        <v>77</v>
      </c>
      <c r="D36" s="26"/>
      <c r="E36" s="27"/>
      <c r="F36" s="27"/>
      <c r="G36" s="27"/>
      <c r="H36" s="27"/>
      <c r="I36" s="27"/>
      <c r="J36" s="27"/>
    </row>
    <row r="37" spans="1:10" ht="35" customHeight="1" x14ac:dyDescent="0.2">
      <c r="A37" s="15" t="s">
        <v>18</v>
      </c>
      <c r="B37" s="15" t="s">
        <v>78</v>
      </c>
      <c r="C37" s="15" t="s">
        <v>79</v>
      </c>
      <c r="D37" s="28"/>
      <c r="E37" s="29"/>
      <c r="F37" s="29"/>
      <c r="G37" s="29"/>
      <c r="H37" s="29"/>
      <c r="I37" s="29"/>
      <c r="J37" s="29"/>
    </row>
    <row r="38" spans="1:10" ht="35" customHeight="1" x14ac:dyDescent="0.2">
      <c r="A38" s="11" t="s">
        <v>18</v>
      </c>
      <c r="B38" s="11" t="s">
        <v>80</v>
      </c>
      <c r="C38" s="11" t="s">
        <v>81</v>
      </c>
      <c r="D38" s="26"/>
      <c r="E38" s="27"/>
      <c r="F38" s="27"/>
      <c r="G38" s="27"/>
      <c r="H38" s="27"/>
      <c r="I38" s="27"/>
      <c r="J38" s="27"/>
    </row>
    <row r="39" spans="1:10" ht="35" customHeight="1" x14ac:dyDescent="0.2">
      <c r="A39" s="15" t="s">
        <v>18</v>
      </c>
      <c r="B39" s="15" t="s">
        <v>82</v>
      </c>
      <c r="C39" s="15" t="s">
        <v>83</v>
      </c>
      <c r="D39" s="28"/>
      <c r="E39" s="29"/>
      <c r="F39" s="29"/>
      <c r="G39" s="29"/>
      <c r="H39" s="29"/>
      <c r="I39" s="29"/>
      <c r="J39" s="29"/>
    </row>
    <row r="41" spans="1:10" x14ac:dyDescent="0.2">
      <c r="A41" s="35" t="s">
        <v>107</v>
      </c>
      <c r="B41" s="36"/>
      <c r="C41" s="36"/>
      <c r="D41" s="36"/>
      <c r="E41" s="36"/>
      <c r="F41" s="36"/>
      <c r="G41" s="36"/>
      <c r="H41" s="36"/>
      <c r="I41" s="36"/>
      <c r="J41" s="36"/>
    </row>
    <row r="42" spans="1:10" ht="16" x14ac:dyDescent="0.2">
      <c r="A42" s="33" t="s">
        <v>10</v>
      </c>
      <c r="B42" s="34"/>
      <c r="C42" s="34"/>
      <c r="D42" s="31">
        <f>IFERROR(AVERAGE(D6,D7,D8,D9,D10,D11),"")</f>
        <v>2.5</v>
      </c>
      <c r="E42" s="30"/>
      <c r="F42" s="30"/>
      <c r="G42" s="30"/>
      <c r="H42" s="30"/>
      <c r="I42" s="30"/>
      <c r="J42" s="30"/>
    </row>
    <row r="43" spans="1:10" ht="17" x14ac:dyDescent="0.2">
      <c r="A43" s="33" t="s">
        <v>12</v>
      </c>
      <c r="B43" s="34"/>
      <c r="C43" s="34"/>
      <c r="D43" s="31" t="str">
        <f>IFERROR(AVERAGE(D13,D14,D15,D16,D17,D18),"")</f>
        <v/>
      </c>
      <c r="E43" s="30"/>
      <c r="F43" s="30"/>
      <c r="G43" s="30"/>
      <c r="H43" s="30"/>
      <c r="I43" s="30"/>
      <c r="J43" s="30"/>
    </row>
    <row r="44" spans="1:10" ht="17" x14ac:dyDescent="0.2">
      <c r="A44" s="33" t="s">
        <v>14</v>
      </c>
      <c r="B44" s="34"/>
      <c r="C44" s="34"/>
      <c r="D44" s="31" t="str">
        <f>IFERROR(AVERAGE(D20,D21,D22,D23,D24,D25),"")</f>
        <v/>
      </c>
      <c r="E44" s="30"/>
      <c r="F44" s="30"/>
      <c r="G44" s="30"/>
      <c r="H44" s="30"/>
      <c r="I44" s="30"/>
      <c r="J44" s="30"/>
    </row>
    <row r="45" spans="1:10" ht="17" x14ac:dyDescent="0.2">
      <c r="A45" s="33" t="s">
        <v>16</v>
      </c>
      <c r="B45" s="34"/>
      <c r="C45" s="34"/>
      <c r="D45" s="31" t="str">
        <f>IFERROR(AVERAGE(D27,D28,D29,D30,D31,D32),"")</f>
        <v/>
      </c>
      <c r="E45" s="30"/>
      <c r="F45" s="30"/>
      <c r="G45" s="30"/>
      <c r="H45" s="30"/>
      <c r="I45" s="30"/>
      <c r="J45" s="30"/>
    </row>
    <row r="46" spans="1:10" ht="17" x14ac:dyDescent="0.2">
      <c r="A46" s="33" t="s">
        <v>18</v>
      </c>
      <c r="B46" s="34"/>
      <c r="C46" s="34"/>
      <c r="D46" s="31" t="str">
        <f>IFERROR(AVERAGE(D34,D35,D36,D37,D38,D39),"")</f>
        <v/>
      </c>
      <c r="E46" s="30"/>
      <c r="F46" s="30"/>
      <c r="G46" s="30"/>
      <c r="H46" s="30"/>
      <c r="I46" s="30"/>
      <c r="J46" s="30"/>
    </row>
  </sheetData>
  <mergeCells count="13">
    <mergeCell ref="A1:J1"/>
    <mergeCell ref="A42:C42"/>
    <mergeCell ref="A33:J33"/>
    <mergeCell ref="A45:C45"/>
    <mergeCell ref="A2:J2"/>
    <mergeCell ref="A46:C46"/>
    <mergeCell ref="A44:C44"/>
    <mergeCell ref="A41:J41"/>
    <mergeCell ref="A19:J19"/>
    <mergeCell ref="A5:J5"/>
    <mergeCell ref="A26:J26"/>
    <mergeCell ref="A12:J12"/>
    <mergeCell ref="A43:C43"/>
  </mergeCells>
  <conditionalFormatting sqref="D6">
    <cfRule type="colorScale" priority="1">
      <colorScale>
        <cfvo type="num" val="1"/>
        <cfvo type="num" val="3"/>
        <cfvo type="num" val="5"/>
        <color rgb="FFFF6B6B"/>
        <color rgb="FFFFD93D"/>
        <color rgb="FF4CAF50"/>
      </colorScale>
    </cfRule>
  </conditionalFormatting>
  <conditionalFormatting sqref="D7:D39">
    <cfRule type="colorScale" priority="2">
      <colorScale>
        <cfvo type="num" val="1"/>
        <cfvo type="num" val="3"/>
        <cfvo type="num" val="5"/>
        <color rgb="FFFF6B6B"/>
        <color rgb="FFFFD93D"/>
        <color rgb="FF4CAF50"/>
      </colorScale>
    </cfRule>
  </conditionalFormatting>
  <dataValidations count="1">
    <dataValidation type="list" allowBlank="1" errorTitle="Invalid Score" error="Please enter a score from 1 to 5" promptTitle="Maturity Score" prompt="Select maturity level (1-5)" sqref="D6:D39" xr:uid="{00000000-0002-0000-0200-000000000000}">
      <formula1>"1,2,3,4,5"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9"/>
  <sheetViews>
    <sheetView workbookViewId="0">
      <pane ySplit="4" topLeftCell="A5" activePane="bottomLeft" state="frozen"/>
      <selection pane="bottomLeft" activeCell="C18" sqref="C18"/>
    </sheetView>
  </sheetViews>
  <sheetFormatPr baseColWidth="10" defaultColWidth="8.83203125" defaultRowHeight="15" x14ac:dyDescent="0.2"/>
  <cols>
    <col min="1" max="1" width="8" customWidth="1"/>
    <col min="2" max="2" width="28" customWidth="1"/>
    <col min="3" max="3" width="60" customWidth="1"/>
    <col min="4" max="4" width="8" customWidth="1"/>
    <col min="5" max="5" width="35" customWidth="1"/>
    <col min="6" max="6" width="40" customWidth="1"/>
  </cols>
  <sheetData>
    <row r="1" spans="1:6" ht="35" customHeight="1" x14ac:dyDescent="0.2">
      <c r="A1" s="39" t="s">
        <v>113</v>
      </c>
      <c r="B1" s="40"/>
      <c r="C1" s="40"/>
      <c r="D1" s="40"/>
      <c r="E1" s="40"/>
      <c r="F1" s="40"/>
    </row>
    <row r="2" spans="1:6" x14ac:dyDescent="0.2">
      <c r="A2" s="41" t="s">
        <v>114</v>
      </c>
      <c r="B2" s="40"/>
      <c r="C2" s="40"/>
      <c r="D2" s="40"/>
      <c r="E2" s="40"/>
      <c r="F2" s="40"/>
    </row>
    <row r="4" spans="1:6" ht="16" x14ac:dyDescent="0.2">
      <c r="A4" s="44" t="s">
        <v>115</v>
      </c>
      <c r="B4" s="40"/>
      <c r="C4" s="40"/>
    </row>
    <row r="5" spans="1:6" ht="16" x14ac:dyDescent="0.2">
      <c r="A5" s="2" t="s">
        <v>116</v>
      </c>
      <c r="B5" s="2" t="s">
        <v>117</v>
      </c>
      <c r="C5" s="2" t="s">
        <v>118</v>
      </c>
    </row>
    <row r="6" spans="1:6" x14ac:dyDescent="0.2">
      <c r="A6" s="10" t="s">
        <v>119</v>
      </c>
      <c r="B6" s="11" t="s">
        <v>120</v>
      </c>
      <c r="C6" s="11" t="s">
        <v>121</v>
      </c>
    </row>
    <row r="7" spans="1:6" x14ac:dyDescent="0.2">
      <c r="A7" s="14" t="s">
        <v>122</v>
      </c>
      <c r="B7" s="15" t="s">
        <v>123</v>
      </c>
      <c r="C7" s="15" t="s">
        <v>124</v>
      </c>
    </row>
    <row r="8" spans="1:6" x14ac:dyDescent="0.2">
      <c r="A8" s="10" t="s">
        <v>125</v>
      </c>
      <c r="B8" s="11" t="s">
        <v>126</v>
      </c>
      <c r="C8" s="11" t="s">
        <v>127</v>
      </c>
    </row>
    <row r="9" spans="1:6" x14ac:dyDescent="0.2">
      <c r="A9" s="14" t="s">
        <v>128</v>
      </c>
      <c r="B9" s="15" t="s">
        <v>129</v>
      </c>
      <c r="C9" s="15" t="s">
        <v>130</v>
      </c>
    </row>
    <row r="10" spans="1:6" x14ac:dyDescent="0.2">
      <c r="A10" s="10" t="s">
        <v>131</v>
      </c>
      <c r="B10" s="11" t="s">
        <v>132</v>
      </c>
      <c r="C10" s="11" t="s">
        <v>133</v>
      </c>
    </row>
    <row r="13" spans="1:6" ht="16" x14ac:dyDescent="0.2">
      <c r="A13" s="44" t="s">
        <v>134</v>
      </c>
      <c r="B13" s="40"/>
      <c r="C13" s="40"/>
      <c r="D13" s="40"/>
      <c r="E13" s="40"/>
      <c r="F13" s="40"/>
    </row>
    <row r="14" spans="1:6" ht="16" x14ac:dyDescent="0.2">
      <c r="A14" s="2" t="s">
        <v>21</v>
      </c>
      <c r="B14" s="2" t="s">
        <v>22</v>
      </c>
      <c r="C14" s="2" t="s">
        <v>3</v>
      </c>
    </row>
    <row r="15" spans="1:6" x14ac:dyDescent="0.2">
      <c r="A15" s="42" t="s">
        <v>10</v>
      </c>
      <c r="B15" s="38"/>
      <c r="C15" s="38"/>
    </row>
    <row r="16" spans="1:6" x14ac:dyDescent="0.2">
      <c r="A16" s="14" t="s">
        <v>24</v>
      </c>
      <c r="B16" s="15" t="s">
        <v>25</v>
      </c>
      <c r="C16" s="15" t="s">
        <v>10</v>
      </c>
    </row>
    <row r="17" spans="1:3" x14ac:dyDescent="0.2">
      <c r="A17" s="10" t="s">
        <v>26</v>
      </c>
      <c r="B17" s="11" t="s">
        <v>27</v>
      </c>
      <c r="C17" s="11" t="s">
        <v>10</v>
      </c>
    </row>
    <row r="18" spans="1:3" x14ac:dyDescent="0.2">
      <c r="A18" s="14" t="s">
        <v>28</v>
      </c>
      <c r="B18" s="15" t="s">
        <v>29</v>
      </c>
      <c r="C18" s="15" t="s">
        <v>10</v>
      </c>
    </row>
    <row r="19" spans="1:3" x14ac:dyDescent="0.2">
      <c r="A19" s="10" t="s">
        <v>30</v>
      </c>
      <c r="B19" s="11" t="s">
        <v>31</v>
      </c>
      <c r="C19" s="11" t="s">
        <v>10</v>
      </c>
    </row>
    <row r="20" spans="1:3" x14ac:dyDescent="0.2">
      <c r="A20" s="14" t="s">
        <v>32</v>
      </c>
      <c r="B20" s="15" t="s">
        <v>33</v>
      </c>
      <c r="C20" s="15" t="s">
        <v>10</v>
      </c>
    </row>
    <row r="21" spans="1:3" x14ac:dyDescent="0.2">
      <c r="A21" s="10" t="s">
        <v>34</v>
      </c>
      <c r="B21" s="11" t="s">
        <v>35</v>
      </c>
      <c r="C21" s="11" t="s">
        <v>10</v>
      </c>
    </row>
    <row r="22" spans="1:3" x14ac:dyDescent="0.2">
      <c r="A22" s="42" t="s">
        <v>12</v>
      </c>
      <c r="B22" s="38"/>
      <c r="C22" s="38"/>
    </row>
    <row r="23" spans="1:3" x14ac:dyDescent="0.2">
      <c r="A23" s="10" t="s">
        <v>36</v>
      </c>
      <c r="B23" s="11" t="s">
        <v>37</v>
      </c>
      <c r="C23" s="11" t="s">
        <v>12</v>
      </c>
    </row>
    <row r="24" spans="1:3" x14ac:dyDescent="0.2">
      <c r="A24" s="14" t="s">
        <v>38</v>
      </c>
      <c r="B24" s="15" t="s">
        <v>39</v>
      </c>
      <c r="C24" s="15" t="s">
        <v>12</v>
      </c>
    </row>
    <row r="25" spans="1:3" x14ac:dyDescent="0.2">
      <c r="A25" s="10" t="s">
        <v>40</v>
      </c>
      <c r="B25" s="11" t="s">
        <v>41</v>
      </c>
      <c r="C25" s="11" t="s">
        <v>12</v>
      </c>
    </row>
    <row r="26" spans="1:3" x14ac:dyDescent="0.2">
      <c r="A26" s="14" t="s">
        <v>42</v>
      </c>
      <c r="B26" s="15" t="s">
        <v>43</v>
      </c>
      <c r="C26" s="15" t="s">
        <v>12</v>
      </c>
    </row>
    <row r="27" spans="1:3" x14ac:dyDescent="0.2">
      <c r="A27" s="10" t="s">
        <v>44</v>
      </c>
      <c r="B27" s="11" t="s">
        <v>45</v>
      </c>
      <c r="C27" s="11" t="s">
        <v>12</v>
      </c>
    </row>
    <row r="28" spans="1:3" x14ac:dyDescent="0.2">
      <c r="A28" s="14" t="s">
        <v>46</v>
      </c>
      <c r="B28" s="15" t="s">
        <v>47</v>
      </c>
      <c r="C28" s="15" t="s">
        <v>12</v>
      </c>
    </row>
    <row r="29" spans="1:3" x14ac:dyDescent="0.2">
      <c r="A29" s="42" t="s">
        <v>14</v>
      </c>
      <c r="B29" s="38"/>
      <c r="C29" s="38"/>
    </row>
    <row r="30" spans="1:3" x14ac:dyDescent="0.2">
      <c r="A30" s="14" t="s">
        <v>48</v>
      </c>
      <c r="B30" s="15" t="s">
        <v>49</v>
      </c>
      <c r="C30" s="15" t="s">
        <v>14</v>
      </c>
    </row>
    <row r="31" spans="1:3" x14ac:dyDescent="0.2">
      <c r="A31" s="10" t="s">
        <v>50</v>
      </c>
      <c r="B31" s="11" t="s">
        <v>51</v>
      </c>
      <c r="C31" s="11" t="s">
        <v>14</v>
      </c>
    </row>
    <row r="32" spans="1:3" x14ac:dyDescent="0.2">
      <c r="A32" s="14" t="s">
        <v>52</v>
      </c>
      <c r="B32" s="15" t="s">
        <v>53</v>
      </c>
      <c r="C32" s="15" t="s">
        <v>14</v>
      </c>
    </row>
    <row r="33" spans="1:3" x14ac:dyDescent="0.2">
      <c r="A33" s="10" t="s">
        <v>54</v>
      </c>
      <c r="B33" s="11" t="s">
        <v>55</v>
      </c>
      <c r="C33" s="11" t="s">
        <v>14</v>
      </c>
    </row>
    <row r="34" spans="1:3" x14ac:dyDescent="0.2">
      <c r="A34" s="14" t="s">
        <v>56</v>
      </c>
      <c r="B34" s="15" t="s">
        <v>57</v>
      </c>
      <c r="C34" s="15" t="s">
        <v>14</v>
      </c>
    </row>
    <row r="35" spans="1:3" x14ac:dyDescent="0.2">
      <c r="A35" s="10" t="s">
        <v>58</v>
      </c>
      <c r="B35" s="11" t="s">
        <v>59</v>
      </c>
      <c r="C35" s="11" t="s">
        <v>14</v>
      </c>
    </row>
    <row r="36" spans="1:3" x14ac:dyDescent="0.2">
      <c r="A36" s="42" t="s">
        <v>16</v>
      </c>
      <c r="B36" s="38"/>
      <c r="C36" s="38"/>
    </row>
    <row r="37" spans="1:3" x14ac:dyDescent="0.2">
      <c r="A37" s="10" t="s">
        <v>60</v>
      </c>
      <c r="B37" s="11" t="s">
        <v>61</v>
      </c>
      <c r="C37" s="11" t="s">
        <v>16</v>
      </c>
    </row>
    <row r="38" spans="1:3" x14ac:dyDescent="0.2">
      <c r="A38" s="14" t="s">
        <v>62</v>
      </c>
      <c r="B38" s="15" t="s">
        <v>63</v>
      </c>
      <c r="C38" s="15" t="s">
        <v>16</v>
      </c>
    </row>
    <row r="39" spans="1:3" x14ac:dyDescent="0.2">
      <c r="A39" s="10" t="s">
        <v>64</v>
      </c>
      <c r="B39" s="11" t="s">
        <v>65</v>
      </c>
      <c r="C39" s="11" t="s">
        <v>16</v>
      </c>
    </row>
    <row r="40" spans="1:3" x14ac:dyDescent="0.2">
      <c r="A40" s="14" t="s">
        <v>66</v>
      </c>
      <c r="B40" s="15" t="s">
        <v>67</v>
      </c>
      <c r="C40" s="15" t="s">
        <v>16</v>
      </c>
    </row>
    <row r="41" spans="1:3" x14ac:dyDescent="0.2">
      <c r="A41" s="10" t="s">
        <v>68</v>
      </c>
      <c r="B41" s="11" t="s">
        <v>69</v>
      </c>
      <c r="C41" s="11" t="s">
        <v>16</v>
      </c>
    </row>
    <row r="42" spans="1:3" x14ac:dyDescent="0.2">
      <c r="A42" s="14" t="s">
        <v>70</v>
      </c>
      <c r="B42" s="15" t="s">
        <v>71</v>
      </c>
      <c r="C42" s="15" t="s">
        <v>16</v>
      </c>
    </row>
    <row r="43" spans="1:3" x14ac:dyDescent="0.2">
      <c r="A43" s="42" t="s">
        <v>18</v>
      </c>
      <c r="B43" s="38"/>
      <c r="C43" s="38"/>
    </row>
    <row r="44" spans="1:3" x14ac:dyDescent="0.2">
      <c r="A44" s="14" t="s">
        <v>72</v>
      </c>
      <c r="B44" s="15" t="s">
        <v>73</v>
      </c>
      <c r="C44" s="15" t="s">
        <v>18</v>
      </c>
    </row>
    <row r="45" spans="1:3" x14ac:dyDescent="0.2">
      <c r="A45" s="10" t="s">
        <v>74</v>
      </c>
      <c r="B45" s="11" t="s">
        <v>75</v>
      </c>
      <c r="C45" s="11" t="s">
        <v>18</v>
      </c>
    </row>
    <row r="46" spans="1:3" x14ac:dyDescent="0.2">
      <c r="A46" s="14" t="s">
        <v>76</v>
      </c>
      <c r="B46" s="15" t="s">
        <v>77</v>
      </c>
      <c r="C46" s="15" t="s">
        <v>18</v>
      </c>
    </row>
    <row r="47" spans="1:3" x14ac:dyDescent="0.2">
      <c r="A47" s="10" t="s">
        <v>78</v>
      </c>
      <c r="B47" s="11" t="s">
        <v>79</v>
      </c>
      <c r="C47" s="11" t="s">
        <v>18</v>
      </c>
    </row>
    <row r="48" spans="1:3" x14ac:dyDescent="0.2">
      <c r="A48" s="14" t="s">
        <v>80</v>
      </c>
      <c r="B48" s="15" t="s">
        <v>81</v>
      </c>
      <c r="C48" s="15" t="s">
        <v>18</v>
      </c>
    </row>
    <row r="49" spans="1:3" x14ac:dyDescent="0.2">
      <c r="A49" s="10" t="s">
        <v>82</v>
      </c>
      <c r="B49" s="11" t="s">
        <v>83</v>
      </c>
      <c r="C49" s="11" t="s">
        <v>18</v>
      </c>
    </row>
  </sheetData>
  <mergeCells count="9">
    <mergeCell ref="A1:F1"/>
    <mergeCell ref="A22:C22"/>
    <mergeCell ref="A15:C15"/>
    <mergeCell ref="A4:C4"/>
    <mergeCell ref="A43:C43"/>
    <mergeCell ref="A29:C29"/>
    <mergeCell ref="A2:F2"/>
    <mergeCell ref="A36:C36"/>
    <mergeCell ref="A13:F1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CE2B4D5AEBDA46A3AC8D51F07D0C22" ma:contentTypeVersion="12" ma:contentTypeDescription="Create a new document." ma:contentTypeScope="" ma:versionID="19a18daa5d10e6d4ea303204b56b6446">
  <xsd:schema xmlns:xsd="http://www.w3.org/2001/XMLSchema" xmlns:xs="http://www.w3.org/2001/XMLSchema" xmlns:p="http://schemas.microsoft.com/office/2006/metadata/properties" xmlns:ns2="c9756473-4d54-4f6b-bf30-79b258a29220" xmlns:ns3="a3f93614-f688-46aa-b821-a2334fd233bc" targetNamespace="http://schemas.microsoft.com/office/2006/metadata/properties" ma:root="true" ma:fieldsID="f84237d06ee8a02e9ab114b57b78c428" ns2:_="" ns3:_="">
    <xsd:import namespace="c9756473-4d54-4f6b-bf30-79b258a29220"/>
    <xsd:import namespace="a3f93614-f688-46aa-b821-a2334fd233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756473-4d54-4f6b-bf30-79b258a292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64ff28f-0961-4bcf-a9e5-8e2052efb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f93614-f688-46aa-b821-a2334fd233b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4220513-61e5-4da0-9a61-b78da29259ba}" ma:internalName="TaxCatchAll" ma:showField="CatchAllData" ma:web="a3f93614-f688-46aa-b821-a2334fd233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756473-4d54-4f6b-bf30-79b258a29220">
      <Terms xmlns="http://schemas.microsoft.com/office/infopath/2007/PartnerControls"/>
    </lcf76f155ced4ddcb4097134ff3c332f>
    <TaxCatchAll xmlns="a3f93614-f688-46aa-b821-a2334fd233bc" xsi:nil="true"/>
  </documentManagement>
</p:properties>
</file>

<file path=customXml/itemProps1.xml><?xml version="1.0" encoding="utf-8"?>
<ds:datastoreItem xmlns:ds="http://schemas.openxmlformats.org/officeDocument/2006/customXml" ds:itemID="{272F7150-A1F4-4CF8-AC81-272CDCAD9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756473-4d54-4f6b-bf30-79b258a29220"/>
    <ds:schemaRef ds:uri="a3f93614-f688-46aa-b821-a2334fd233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0A49FF-738F-452F-8906-EC38634F42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531F07-5198-4416-857C-9FD123D43A10}">
  <ds:schemaRefs>
    <ds:schemaRef ds:uri="http://schemas.microsoft.com/office/infopath/2007/PartnerControls"/>
    <ds:schemaRef ds:uri="http://www.w3.org/XML/1998/namespace"/>
    <ds:schemaRef ds:uri="c9756473-4d54-4f6b-bf30-79b258a29220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a3f93614-f688-46aa-b821-a2334fd233bc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Team Assessment (Axis A)</vt:lpstr>
      <vt:lpstr>Business Assessment (Axis B)</vt:lpstr>
      <vt:lpstr>Rubric Reference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Tim Wood</cp:lastModifiedBy>
  <cp:revision/>
  <dcterms:created xsi:type="dcterms:W3CDTF">2026-05-15T16:01:33Z</dcterms:created>
  <dcterms:modified xsi:type="dcterms:W3CDTF">2026-06-06T11:22:03Z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0x0101000BCE2B4D5AEBDA46A3AC8D51F07D0C22</vt:lpwstr>
  </property>
  <property fmtid="{D5CDD505-2E9C-101B-9397-08002B2CF9AE}" pid="3" name="MediaServiceImageTags">
    <vt:lpwstr/>
  </property>
</Properties>
</file>